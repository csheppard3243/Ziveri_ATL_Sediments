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667C172B-D8DC-184B-B952-60D5949FF76C}" xr6:coauthVersionLast="47" xr6:coauthVersionMax="47" xr10:uidLastSave="{00000000-0000-0000-0000-000000000000}"/>
  <bookViews>
    <workbookView xWindow="0" yWindow="980" windowWidth="29400" windowHeight="16740" activeTab="2" xr2:uid="{CE099A62-458D-0542-8796-D9BC0324CD7E}"/>
  </bookViews>
  <sheets>
    <sheet name="CFGDS2436_IsotopicData_20251031" sheetId="1" r:id="rId1"/>
    <sheet name="CM workup batch2" sheetId="2" r:id="rId2"/>
    <sheet name="complied batch 1 and 2 CM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C3" i="3"/>
  <c r="C4" i="3"/>
  <c r="C5" i="3"/>
  <c r="C6" i="3"/>
  <c r="C7" i="3"/>
  <c r="C8" i="3"/>
  <c r="C9" i="3"/>
  <c r="C10" i="3"/>
  <c r="C11" i="3"/>
  <c r="C12" i="3"/>
  <c r="C13" i="3"/>
  <c r="D2" i="3"/>
  <c r="C2" i="3"/>
  <c r="B3" i="3"/>
  <c r="B4" i="3"/>
  <c r="B5" i="3"/>
  <c r="B6" i="3"/>
  <c r="B7" i="3"/>
  <c r="B8" i="3"/>
  <c r="B9" i="3"/>
  <c r="B10" i="3"/>
  <c r="B11" i="3"/>
  <c r="B12" i="3"/>
  <c r="B13" i="3"/>
  <c r="B2" i="3"/>
  <c r="J7" i="3"/>
  <c r="J6" i="3"/>
  <c r="J5" i="3"/>
  <c r="J4" i="3"/>
  <c r="V3" i="2" l="1"/>
  <c r="V4" i="2"/>
  <c r="V5" i="2"/>
  <c r="V6" i="2"/>
  <c r="V7" i="2"/>
  <c r="V8" i="2"/>
  <c r="V9" i="2"/>
  <c r="V10" i="2"/>
  <c r="V11" i="2"/>
  <c r="V12" i="2"/>
  <c r="V13" i="2"/>
  <c r="V2" i="2"/>
  <c r="S20" i="2"/>
  <c r="R15" i="2"/>
  <c r="S15" i="2" s="1"/>
  <c r="R16" i="2"/>
  <c r="S16" i="2" s="1"/>
  <c r="R17" i="2"/>
  <c r="S17" i="2" s="1"/>
  <c r="R18" i="2"/>
  <c r="S18" i="2" s="1"/>
  <c r="R19" i="2"/>
  <c r="S19" i="2" s="1"/>
  <c r="R20" i="2"/>
  <c r="R21" i="2"/>
  <c r="S21" i="2" s="1"/>
  <c r="R22" i="2"/>
  <c r="S22" i="2" s="1"/>
  <c r="R14" i="2"/>
  <c r="S14" i="2" s="1"/>
  <c r="AQ31" i="2" l="1"/>
  <c r="R9" i="2" s="1"/>
  <c r="S9" i="2" s="1"/>
  <c r="AR31" i="2"/>
  <c r="R3" i="2" s="1"/>
  <c r="S3" i="2" s="1"/>
  <c r="AL2" i="2"/>
  <c r="AK2" i="2"/>
  <c r="R13" i="2" l="1"/>
  <c r="S13" i="2" s="1"/>
  <c r="R4" i="2"/>
  <c r="S4" i="2" s="1"/>
  <c r="R2" i="2"/>
  <c r="S2" i="2" s="1"/>
  <c r="R8" i="2"/>
  <c r="S8" i="2" s="1"/>
  <c r="R6" i="2"/>
  <c r="S6" i="2" s="1"/>
  <c r="R10" i="2"/>
  <c r="S10" i="2" s="1"/>
  <c r="R7" i="2"/>
  <c r="S7" i="2" s="1"/>
  <c r="R11" i="2"/>
  <c r="S11" i="2" s="1"/>
  <c r="R5" i="2"/>
  <c r="S5" i="2" s="1"/>
  <c r="R12" i="2"/>
  <c r="S12" i="2" s="1"/>
  <c r="AQ4" i="2"/>
  <c r="AM2" i="2" l="1"/>
  <c r="AN2" i="2" s="1"/>
  <c r="AR4" i="2" s="1"/>
  <c r="AH2" i="2"/>
  <c r="AG2" i="2"/>
  <c r="E3" i="2"/>
  <c r="T3" i="2" s="1"/>
  <c r="U3" i="2" s="1"/>
  <c r="E4" i="2"/>
  <c r="T4" i="2" s="1"/>
  <c r="U4" i="2" s="1"/>
  <c r="E5" i="2"/>
  <c r="T5" i="2" s="1"/>
  <c r="U5" i="2" s="1"/>
  <c r="E6" i="2"/>
  <c r="T6" i="2" s="1"/>
  <c r="U6" i="2" s="1"/>
  <c r="E7" i="2"/>
  <c r="T7" i="2" s="1"/>
  <c r="U7" i="2" s="1"/>
  <c r="E8" i="2"/>
  <c r="T8" i="2" s="1"/>
  <c r="U8" i="2" s="1"/>
  <c r="E9" i="2"/>
  <c r="T9" i="2" s="1"/>
  <c r="U9" i="2" s="1"/>
  <c r="E10" i="2"/>
  <c r="T10" i="2" s="1"/>
  <c r="U10" i="2" s="1"/>
  <c r="E11" i="2"/>
  <c r="T11" i="2" s="1"/>
  <c r="U11" i="2" s="1"/>
  <c r="E12" i="2"/>
  <c r="T12" i="2" s="1"/>
  <c r="U12" i="2" s="1"/>
  <c r="E13" i="2"/>
  <c r="T13" i="2" s="1"/>
  <c r="U13" i="2" s="1"/>
  <c r="E14" i="2"/>
  <c r="E15" i="2"/>
  <c r="E16" i="2"/>
  <c r="E17" i="2"/>
  <c r="E18" i="2"/>
  <c r="E19" i="2"/>
  <c r="E20" i="2"/>
  <c r="E21" i="2"/>
  <c r="E22" i="2"/>
  <c r="E2" i="2"/>
  <c r="T2" i="2" s="1"/>
  <c r="U2" i="2" s="1"/>
  <c r="X13" i="2"/>
  <c r="X12" i="2"/>
  <c r="X11" i="2"/>
  <c r="X10" i="2"/>
  <c r="X9" i="2"/>
  <c r="X8" i="2"/>
  <c r="X7" i="2"/>
  <c r="X6" i="2"/>
  <c r="X5" i="2"/>
  <c r="X4" i="2"/>
  <c r="X3" i="2"/>
  <c r="X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Y7" i="2" l="1"/>
  <c r="AF19" i="2"/>
  <c r="T19" i="2"/>
  <c r="U19" i="2" s="1"/>
  <c r="AF20" i="2"/>
  <c r="T20" i="2"/>
  <c r="U20" i="2" s="1"/>
  <c r="AF18" i="2"/>
  <c r="T18" i="2"/>
  <c r="U18" i="2" s="1"/>
  <c r="AF17" i="2"/>
  <c r="T17" i="2"/>
  <c r="U17" i="2" s="1"/>
  <c r="AF16" i="2"/>
  <c r="T16" i="2"/>
  <c r="U16" i="2" s="1"/>
  <c r="AF15" i="2"/>
  <c r="T15" i="2"/>
  <c r="U15" i="2" s="1"/>
  <c r="Y4" i="2"/>
  <c r="AF22" i="2"/>
  <c r="T22" i="2"/>
  <c r="U22" i="2" s="1"/>
  <c r="AF21" i="2"/>
  <c r="T21" i="2"/>
  <c r="U21" i="2" s="1"/>
  <c r="AF14" i="2"/>
  <c r="T14" i="2"/>
  <c r="U14" i="2" s="1"/>
  <c r="Y5" i="2"/>
  <c r="Y13" i="2"/>
  <c r="Y3" i="2"/>
  <c r="Y9" i="2"/>
  <c r="Y11" i="2"/>
  <c r="Y2" i="2"/>
  <c r="Y12" i="2"/>
  <c r="Y6" i="2"/>
  <c r="Z10" i="2"/>
  <c r="AA10" i="2" s="1"/>
  <c r="AB10" i="2" s="1"/>
  <c r="AC10" i="2" s="1"/>
  <c r="Z11" i="2"/>
  <c r="AA11" i="2" s="1"/>
  <c r="AB11" i="2" s="1"/>
  <c r="AC11" i="2" s="1"/>
  <c r="Z12" i="2"/>
  <c r="AA12" i="2" s="1"/>
  <c r="AB12" i="2" s="1"/>
  <c r="AC12" i="2" s="1"/>
  <c r="Z3" i="2"/>
  <c r="AA3" i="2" s="1"/>
  <c r="AB3" i="2" s="1"/>
  <c r="AC3" i="2" s="1"/>
  <c r="Z4" i="2"/>
  <c r="AA4" i="2" s="1"/>
  <c r="AB4" i="2" s="1"/>
  <c r="AC4" i="2" s="1"/>
  <c r="Z2" i="2"/>
  <c r="Z7" i="2"/>
  <c r="AA7" i="2" s="1"/>
  <c r="AB7" i="2" s="1"/>
  <c r="AC7" i="2" s="1"/>
  <c r="Z9" i="2"/>
  <c r="AA9" i="2" s="1"/>
  <c r="AB9" i="2" s="1"/>
  <c r="AC9" i="2" s="1"/>
  <c r="Z13" i="2"/>
  <c r="AA13" i="2" s="1"/>
  <c r="AB13" i="2" s="1"/>
  <c r="AC13" i="2" s="1"/>
  <c r="Z5" i="2"/>
  <c r="AA5" i="2" s="1"/>
  <c r="AB5" i="2" s="1"/>
  <c r="AC5" i="2" s="1"/>
  <c r="Z6" i="2"/>
  <c r="AA6" i="2" s="1"/>
  <c r="AB6" i="2" s="1"/>
  <c r="AC6" i="2" s="1"/>
  <c r="Z8" i="2"/>
  <c r="AA8" i="2" s="1"/>
  <c r="AB8" i="2" s="1"/>
  <c r="AC8" i="2" s="1"/>
  <c r="Y8" i="2"/>
  <c r="Y10" i="2"/>
  <c r="AA2" i="2" l="1"/>
  <c r="AB2" i="2" s="1"/>
  <c r="AC2" i="2" s="1"/>
</calcChain>
</file>

<file path=xl/sharedStrings.xml><?xml version="1.0" encoding="utf-8"?>
<sst xmlns="http://schemas.openxmlformats.org/spreadsheetml/2006/main" count="168" uniqueCount="99">
  <si>
    <t xml:space="preserve"> Sample Id</t>
  </si>
  <si>
    <t>Peak Number</t>
  </si>
  <si>
    <t xml:space="preserve">               Start Time</t>
  </si>
  <si>
    <t xml:space="preserve">  End Time</t>
  </si>
  <si>
    <t xml:space="preserve">     Max 12CO2 (ppm)</t>
  </si>
  <si>
    <t xml:space="preserve">      12CO2 Integral</t>
  </si>
  <si>
    <t xml:space="preserve">      13CO2 Integral</t>
  </si>
  <si>
    <t xml:space="preserve">          Delta CRDS</t>
  </si>
  <si>
    <t xml:space="preserve">      12CO2 Baseline</t>
  </si>
  <si>
    <t xml:space="preserve">      13CO2 Baseline</t>
  </si>
  <si>
    <t xml:space="preserve">           Threshold</t>
  </si>
  <si>
    <t>Number of data points</t>
  </si>
  <si>
    <t>Time interval (seconds)</t>
  </si>
  <si>
    <t xml:space="preserve">      2025/10/31 09:09:52</t>
  </si>
  <si>
    <t xml:space="preserve">      2025/10/31 09:25:13</t>
  </si>
  <si>
    <t xml:space="preserve">      2025/10/31 09:44:19</t>
  </si>
  <si>
    <t xml:space="preserve">      2025/10/31 10:02:09</t>
  </si>
  <si>
    <t xml:space="preserve">      2025/10/31 10:36:54</t>
  </si>
  <si>
    <t xml:space="preserve">      2025/10/31 10:52:35</t>
  </si>
  <si>
    <t xml:space="preserve">      2025/10/31 11:08:16</t>
  </si>
  <si>
    <t xml:space="preserve">      2025/10/31 11:23:42</t>
  </si>
  <si>
    <t xml:space="preserve">      2025/10/31 11:39:17</t>
  </si>
  <si>
    <t xml:space="preserve">      2025/10/31 11:54:43</t>
  </si>
  <si>
    <t xml:space="preserve">      2025/10/31 12:26:31</t>
  </si>
  <si>
    <t xml:space="preserve">      2025/10/31 13:06:39</t>
  </si>
  <si>
    <t xml:space="preserve">      2025/10/31 13:21:56</t>
  </si>
  <si>
    <t xml:space="preserve">      2025/10/31 13:37:24</t>
  </si>
  <si>
    <t xml:space="preserve">      2025/10/31 13:52:57</t>
  </si>
  <si>
    <t xml:space="preserve">      2025/10/31 14:08:33</t>
  </si>
  <si>
    <t xml:space="preserve">      2025/10/31 14:24:09</t>
  </si>
  <si>
    <t xml:space="preserve">      2025/10/31 14:55:46</t>
  </si>
  <si>
    <t xml:space="preserve">      2025/10/31 15:11:22</t>
  </si>
  <si>
    <t xml:space="preserve">      2025/10/31 15:26:52</t>
  </si>
  <si>
    <t xml:space="preserve">      2025/10/31 15:42:28</t>
  </si>
  <si>
    <t xml:space="preserve"> Description</t>
  </si>
  <si>
    <t>sample mass (mg)</t>
  </si>
  <si>
    <t>sample mass (g)</t>
  </si>
  <si>
    <t>std 6</t>
  </si>
  <si>
    <t xml:space="preserve">std 7 </t>
  </si>
  <si>
    <t>std2</t>
  </si>
  <si>
    <t>std3</t>
  </si>
  <si>
    <t>std4</t>
  </si>
  <si>
    <t>st1</t>
  </si>
  <si>
    <t>st3</t>
  </si>
  <si>
    <t>st4</t>
  </si>
  <si>
    <t>st6</t>
  </si>
  <si>
    <t>st8</t>
  </si>
  <si>
    <t>st9</t>
  </si>
  <si>
    <t>std5</t>
  </si>
  <si>
    <t>st10</t>
  </si>
  <si>
    <t>st11</t>
  </si>
  <si>
    <t>st12</t>
  </si>
  <si>
    <t>st16</t>
  </si>
  <si>
    <t>st16.2</t>
  </si>
  <si>
    <t>st18</t>
  </si>
  <si>
    <t>std8</t>
  </si>
  <si>
    <t>std9</t>
  </si>
  <si>
    <t>std1</t>
  </si>
  <si>
    <t>descrip</t>
  </si>
  <si>
    <t>%IC</t>
  </si>
  <si>
    <t>fraction of IC in a sample</t>
  </si>
  <si>
    <t>g IC in samples</t>
  </si>
  <si>
    <t>g TC in sample</t>
  </si>
  <si>
    <t>fraction of TC in sample</t>
  </si>
  <si>
    <t>%TC</t>
  </si>
  <si>
    <t>grams of TC in std</t>
  </si>
  <si>
    <t>slope of standards</t>
  </si>
  <si>
    <t>intercept of standards</t>
  </si>
  <si>
    <t>TC excluding outlier</t>
  </si>
  <si>
    <t xml:space="preserve">12CO2 integral </t>
  </si>
  <si>
    <t>R^2 std curve</t>
  </si>
  <si>
    <t>Average d13C of standards</t>
  </si>
  <si>
    <t>2s stdev std d13C</t>
  </si>
  <si>
    <t>count stds</t>
  </si>
  <si>
    <t>2s std err stds</t>
  </si>
  <si>
    <t>Value</t>
  </si>
  <si>
    <t>SD</t>
  </si>
  <si>
    <t>Spar</t>
  </si>
  <si>
    <t>Offset from true</t>
  </si>
  <si>
    <t>umols C (12)</t>
  </si>
  <si>
    <t>gTC</t>
  </si>
  <si>
    <t>%TC STD</t>
  </si>
  <si>
    <t>fraction TC STD</t>
  </si>
  <si>
    <t>slope</t>
  </si>
  <si>
    <t xml:space="preserve">intercept </t>
  </si>
  <si>
    <t>%CacO3</t>
  </si>
  <si>
    <t>%TOC</t>
  </si>
  <si>
    <t>grams TC in sample</t>
  </si>
  <si>
    <t>TOC% fixed</t>
  </si>
  <si>
    <t>sample</t>
  </si>
  <si>
    <t>d13c</t>
  </si>
  <si>
    <t>TC%</t>
  </si>
  <si>
    <t>TOC%</t>
  </si>
  <si>
    <t>d13c b1</t>
  </si>
  <si>
    <t>d13c b2</t>
  </si>
  <si>
    <t>tc1</t>
  </si>
  <si>
    <t>tc2</t>
  </si>
  <si>
    <t>toc1</t>
  </si>
  <si>
    <t>toc2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</si>
</sst>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E+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16" fillId="0" borderId="0" xfId="0" applyFont="1"/>
    <xf numFmtId="0" fontId="21" fillId="0" borderId="0" xfId="0" applyFont="1"/>
    <xf numFmtId="0" fontId="0" fillId="33" borderId="0" xfId="0" applyFill="1"/>
    <xf numFmtId="0" fontId="20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of TC in STD (g) vs 12 CO2 Integral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'CM workup batch2'!$H$14:$H$22</c:f>
              <c:numCache>
                <c:formatCode>General</c:formatCode>
                <c:ptCount val="9"/>
                <c:pt idx="0">
                  <c:v>544.69500000000005</c:v>
                </c:pt>
                <c:pt idx="1">
                  <c:v>666.45100000000002</c:v>
                </c:pt>
                <c:pt idx="2">
                  <c:v>27.510999999999999</c:v>
                </c:pt>
                <c:pt idx="3">
                  <c:v>1147.164</c:v>
                </c:pt>
                <c:pt idx="4">
                  <c:v>429.608</c:v>
                </c:pt>
                <c:pt idx="5">
                  <c:v>576.39700000000005</c:v>
                </c:pt>
                <c:pt idx="6">
                  <c:v>729.81</c:v>
                </c:pt>
                <c:pt idx="7">
                  <c:v>860.97699999999998</c:v>
                </c:pt>
                <c:pt idx="8">
                  <c:v>897.66</c:v>
                </c:pt>
              </c:numCache>
            </c:numRef>
          </c:xVal>
          <c:yVal>
            <c:numRef>
              <c:f>'CM workup batch2'!$AF$14:$AF$22</c:f>
              <c:numCache>
                <c:formatCode>General</c:formatCode>
                <c:ptCount val="9"/>
                <c:pt idx="0">
                  <c:v>1.2179675479087982E-4</c:v>
                </c:pt>
                <c:pt idx="1">
                  <c:v>1.8071518494095079E-4</c:v>
                </c:pt>
                <c:pt idx="2">
                  <c:v>2.4455348400375673E-4</c:v>
                </c:pt>
                <c:pt idx="3">
                  <c:v>3.0071198769058611E-4</c:v>
                </c:pt>
                <c:pt idx="4">
                  <c:v>2.1095437923385887E-4</c:v>
                </c:pt>
                <c:pt idx="5">
                  <c:v>1.2383670043762364E-4</c:v>
                </c:pt>
                <c:pt idx="6">
                  <c:v>1.8443508582618946E-4</c:v>
                </c:pt>
                <c:pt idx="7">
                  <c:v>2.4383350318725894E-4</c:v>
                </c:pt>
                <c:pt idx="8">
                  <c:v>2.9747207401634596E-4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D-0A40-A869-25E9A78B8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121824"/>
        <c:axId val="1020144352"/>
      </c:scatterChart>
      <c:valAx>
        <c:axId val="10201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</a:t>
                </a:r>
                <a:r>
                  <a:rPr lang="en-US" baseline="0"/>
                  <a:t> CO2 Integral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4352"/>
        <c:crosses val="autoZero"/>
        <c:crossBetween val="midCat"/>
      </c:valAx>
      <c:valAx>
        <c:axId val="10201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 in STD</a:t>
                </a:r>
                <a:r>
                  <a:rPr lang="en-US" baseline="0"/>
                  <a:t> mass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884498163604847"/>
                  <c:y val="0.125566553502931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'CM workup batch2'!$AG$25:$AG$32</c:f>
              <c:numCache>
                <c:formatCode>General</c:formatCode>
                <c:ptCount val="8"/>
                <c:pt idx="0">
                  <c:v>157487.44899999999</c:v>
                </c:pt>
                <c:pt idx="1">
                  <c:v>217006.05100000001</c:v>
                </c:pt>
                <c:pt idx="2">
                  <c:v>386364.25300000003</c:v>
                </c:pt>
                <c:pt idx="3">
                  <c:v>267944.51899999997</c:v>
                </c:pt>
                <c:pt idx="4">
                  <c:v>163147.79800000001</c:v>
                </c:pt>
                <c:pt idx="5">
                  <c:v>238305.125</c:v>
                </c:pt>
                <c:pt idx="6">
                  <c:v>313685.23</c:v>
                </c:pt>
                <c:pt idx="7">
                  <c:v>358856.66</c:v>
                </c:pt>
              </c:numCache>
            </c:numRef>
          </c:xVal>
          <c:yVal>
            <c:numRef>
              <c:f>'CM workup batch2'!$AF$25:$AF$32</c:f>
              <c:numCache>
                <c:formatCode>General</c:formatCode>
                <c:ptCount val="8"/>
                <c:pt idx="0">
                  <c:v>1.2179675479087982E-4</c:v>
                </c:pt>
                <c:pt idx="1">
                  <c:v>1.8071518494095079E-4</c:v>
                </c:pt>
                <c:pt idx="2">
                  <c:v>3.0071198769058611E-4</c:v>
                </c:pt>
                <c:pt idx="3">
                  <c:v>2.1095437923385887E-4</c:v>
                </c:pt>
                <c:pt idx="4">
                  <c:v>1.2383670043762364E-4</c:v>
                </c:pt>
                <c:pt idx="5">
                  <c:v>1.8443508582618946E-4</c:v>
                </c:pt>
                <c:pt idx="6">
                  <c:v>2.4383350318725894E-4</c:v>
                </c:pt>
                <c:pt idx="7">
                  <c:v>2.9747207401634596E-4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3-704C-AAA4-B66293591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231199"/>
        <c:axId val="1931356847"/>
      </c:scatterChart>
      <c:valAx>
        <c:axId val="19312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56847"/>
        <c:crosses val="autoZero"/>
        <c:crossBetween val="midCat"/>
      </c:valAx>
      <c:valAx>
        <c:axId val="19313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23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'CM workup batch2'!$I$14:$I$22</c:f>
              <c:numCache>
                <c:formatCode>General</c:formatCode>
                <c:ptCount val="9"/>
                <c:pt idx="0">
                  <c:v>157487.44899999999</c:v>
                </c:pt>
                <c:pt idx="1">
                  <c:v>217006.05100000001</c:v>
                </c:pt>
                <c:pt idx="2">
                  <c:v>21936.112000000001</c:v>
                </c:pt>
                <c:pt idx="3">
                  <c:v>386364.25300000003</c:v>
                </c:pt>
                <c:pt idx="4">
                  <c:v>267944.51899999997</c:v>
                </c:pt>
                <c:pt idx="5">
                  <c:v>163147.79800000001</c:v>
                </c:pt>
                <c:pt idx="6">
                  <c:v>238305.125</c:v>
                </c:pt>
                <c:pt idx="7">
                  <c:v>313685.23</c:v>
                </c:pt>
                <c:pt idx="8">
                  <c:v>358856.66</c:v>
                </c:pt>
              </c:numCache>
            </c:numRef>
          </c:xVal>
          <c:yVal>
            <c:numRef>
              <c:f>'CM workup batch2'!$R$14:$R$22</c:f>
              <c:numCache>
                <c:formatCode>General</c:formatCode>
                <c:ptCount val="9"/>
                <c:pt idx="0">
                  <c:v>10.141278500489578</c:v>
                </c:pt>
                <c:pt idx="1">
                  <c:v>15.047059528805228</c:v>
                </c:pt>
                <c:pt idx="2">
                  <c:v>20.362488260096317</c:v>
                </c:pt>
                <c:pt idx="3">
                  <c:v>25.038466918450133</c:v>
                </c:pt>
                <c:pt idx="4">
                  <c:v>17.564894190995744</c:v>
                </c:pt>
                <c:pt idx="5">
                  <c:v>10.311132426113543</c:v>
                </c:pt>
                <c:pt idx="6">
                  <c:v>15.356793157884219</c:v>
                </c:pt>
                <c:pt idx="7">
                  <c:v>20.302539815758447</c:v>
                </c:pt>
                <c:pt idx="8">
                  <c:v>24.768698918929722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1A-C949-AD70-AE00195AB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491759"/>
        <c:axId val="708480927"/>
      </c:scatterChart>
      <c:valAx>
        <c:axId val="70849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80927"/>
        <c:crosses val="autoZero"/>
        <c:crossBetween val="midCat"/>
      </c:valAx>
      <c:valAx>
        <c:axId val="7084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9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203200</xdr:colOff>
      <xdr:row>10</xdr:row>
      <xdr:rowOff>38100</xdr:rowOff>
    </xdr:from>
    <xdr:to>
      <xdr:col>41</xdr:col>
      <xdr:colOff>393700</xdr:colOff>
      <xdr:row>28</xdr:row>
      <xdr:rowOff>20696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7B34F-A8AF-C146-80E0-3B2DE327D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542510</xdr:colOff>
      <xdr:row>19</xdr:row>
      <xdr:rowOff>199959</xdr:rowOff>
    </xdr:from>
    <xdr:to>
      <xdr:col>28</xdr:col>
      <xdr:colOff>223659</xdr:colOff>
      <xdr:row>33</xdr:row>
      <xdr:rowOff>107578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D3D5D4-6A06-827A-A40A-11F8D74E0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355600</xdr:colOff>
      <xdr:row>29</xdr:row>
      <xdr:rowOff>127000</xdr:rowOff>
    </xdr:from>
    <xdr:to>
      <xdr:col>41</xdr:col>
      <xdr:colOff>444500</xdr:colOff>
      <xdr:row>47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EBC328-8010-2274-492B-127D5CE08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E4FC-4FD0-C044-9849-968237FF80DB}">
  <dimension ref="A1:P22"/>
  <sheetViews>
    <sheetView workbookViewId="0">
      <selection sqref="A1:XFD1048576"/>
    </sheetView>
  </sheetViews>
  <sheetFormatPr baseColWidth="10" defaultRowHeight="16" x14ac:dyDescent="0.2"/>
  <cols>
    <col min="3" max="3" width="8.1640625" customWidth="1"/>
    <col min="4" max="4" width="13" customWidth="1"/>
    <col min="5" max="5" width="12.1640625" customWidth="1"/>
  </cols>
  <sheetData>
    <row r="1" spans="1:16" x14ac:dyDescent="0.2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">
      <c r="A2">
        <v>2</v>
      </c>
      <c r="B2">
        <v>1</v>
      </c>
      <c r="C2" t="s">
        <v>57</v>
      </c>
      <c r="D2">
        <v>1.0149999999999999</v>
      </c>
      <c r="E2">
        <f>D2*1000</f>
        <v>1014.9999999999999</v>
      </c>
      <c r="F2" t="s">
        <v>13</v>
      </c>
      <c r="G2" s="1">
        <v>45961.387592592589</v>
      </c>
      <c r="H2">
        <v>544.69500000000005</v>
      </c>
      <c r="I2">
        <v>157487.44899999999</v>
      </c>
      <c r="J2">
        <v>1768.3920000000001</v>
      </c>
      <c r="K2">
        <v>1.86</v>
      </c>
      <c r="L2">
        <v>-0.42199999999999999</v>
      </c>
      <c r="M2">
        <v>8.9999999999999993E-3</v>
      </c>
      <c r="N2">
        <v>75</v>
      </c>
      <c r="O2">
        <v>395</v>
      </c>
      <c r="P2">
        <v>496.197</v>
      </c>
    </row>
    <row r="3" spans="1:16" x14ac:dyDescent="0.2">
      <c r="A3">
        <v>3</v>
      </c>
      <c r="B3">
        <v>1</v>
      </c>
      <c r="C3" t="s">
        <v>39</v>
      </c>
      <c r="D3">
        <v>1.506</v>
      </c>
      <c r="E3">
        <f t="shared" ref="E3:E22" si="0">D3*1000</f>
        <v>1506</v>
      </c>
      <c r="F3" t="s">
        <v>14</v>
      </c>
      <c r="G3" s="1">
        <v>45961.400092592594</v>
      </c>
      <c r="H3">
        <v>666.45100000000002</v>
      </c>
      <c r="I3">
        <v>217006.05100000001</v>
      </c>
      <c r="J3">
        <v>2437.5349999999999</v>
      </c>
      <c r="K3">
        <v>1.9319999999999999</v>
      </c>
      <c r="L3">
        <v>9.1679999999999993</v>
      </c>
      <c r="M3">
        <v>0.11600000000000001</v>
      </c>
      <c r="N3">
        <v>75</v>
      </c>
      <c r="O3">
        <v>521</v>
      </c>
      <c r="P3">
        <v>654.86900000000003</v>
      </c>
    </row>
    <row r="4" spans="1:16" x14ac:dyDescent="0.2">
      <c r="A4">
        <v>4</v>
      </c>
      <c r="B4">
        <v>1</v>
      </c>
      <c r="C4" t="s">
        <v>40</v>
      </c>
      <c r="D4">
        <v>2.0379999999999998</v>
      </c>
      <c r="E4">
        <f t="shared" si="0"/>
        <v>2037.9999999999998</v>
      </c>
      <c r="F4" t="s">
        <v>15</v>
      </c>
      <c r="G4" s="1">
        <v>45961.416238425925</v>
      </c>
      <c r="H4">
        <v>27.510999999999999</v>
      </c>
      <c r="I4">
        <v>21936.112000000001</v>
      </c>
      <c r="J4">
        <v>245.88399999999999</v>
      </c>
      <c r="K4">
        <v>1.6779999999999999</v>
      </c>
      <c r="L4">
        <v>55.307000000000002</v>
      </c>
      <c r="M4">
        <v>0.63600000000000001</v>
      </c>
      <c r="N4">
        <v>75</v>
      </c>
      <c r="O4">
        <v>720</v>
      </c>
      <c r="P4">
        <v>904.73500000000001</v>
      </c>
    </row>
    <row r="5" spans="1:16" x14ac:dyDescent="0.2">
      <c r="A5">
        <v>5</v>
      </c>
      <c r="B5">
        <v>1</v>
      </c>
      <c r="C5" t="s">
        <v>41</v>
      </c>
      <c r="D5">
        <v>2.5059999999999998</v>
      </c>
      <c r="E5">
        <f t="shared" si="0"/>
        <v>2506</v>
      </c>
      <c r="F5" t="s">
        <v>16</v>
      </c>
      <c r="G5" s="1">
        <v>45961.429513888892</v>
      </c>
      <c r="H5">
        <v>1147.164</v>
      </c>
      <c r="I5">
        <v>386364.25300000003</v>
      </c>
      <c r="J5">
        <v>4338.5739999999996</v>
      </c>
      <c r="K5">
        <v>2.1379999999999999</v>
      </c>
      <c r="L5">
        <v>74.846000000000004</v>
      </c>
      <c r="M5">
        <v>0.85499999999999998</v>
      </c>
      <c r="N5">
        <v>75</v>
      </c>
      <c r="O5">
        <v>779</v>
      </c>
      <c r="P5">
        <v>980.32899999999995</v>
      </c>
    </row>
    <row r="6" spans="1:16" x14ac:dyDescent="0.2">
      <c r="A6">
        <v>7</v>
      </c>
      <c r="B6">
        <v>1</v>
      </c>
      <c r="C6" t="s">
        <v>42</v>
      </c>
      <c r="D6">
        <v>8.6980000000000004</v>
      </c>
      <c r="E6">
        <f t="shared" si="0"/>
        <v>8698</v>
      </c>
      <c r="F6" t="s">
        <v>17</v>
      </c>
      <c r="G6" s="1">
        <v>45961.450057870374</v>
      </c>
      <c r="H6">
        <v>1566.021</v>
      </c>
      <c r="I6">
        <v>431539.61499999999</v>
      </c>
      <c r="J6">
        <v>4846.2209999999995</v>
      </c>
      <c r="K6">
        <v>2.206</v>
      </c>
      <c r="L6">
        <v>42.170999999999999</v>
      </c>
      <c r="M6">
        <v>0.48799999999999999</v>
      </c>
      <c r="N6">
        <v>75</v>
      </c>
      <c r="O6">
        <v>533</v>
      </c>
      <c r="P6">
        <v>670.65800000000002</v>
      </c>
    </row>
    <row r="7" spans="1:16" x14ac:dyDescent="0.2">
      <c r="A7">
        <v>8</v>
      </c>
      <c r="B7">
        <v>1</v>
      </c>
      <c r="C7" t="s">
        <v>43</v>
      </c>
      <c r="D7">
        <v>3.657</v>
      </c>
      <c r="E7">
        <f t="shared" si="0"/>
        <v>3657</v>
      </c>
      <c r="F7" t="s">
        <v>18</v>
      </c>
      <c r="G7" s="1">
        <v>45961.46025462963</v>
      </c>
      <c r="H7">
        <v>1172.49</v>
      </c>
      <c r="I7">
        <v>313073.50300000003</v>
      </c>
      <c r="J7">
        <v>3531.348</v>
      </c>
      <c r="K7">
        <v>6.0579999999999998</v>
      </c>
      <c r="L7">
        <v>50.454999999999998</v>
      </c>
      <c r="M7">
        <v>0.57999999999999996</v>
      </c>
      <c r="N7">
        <v>75</v>
      </c>
      <c r="O7">
        <v>486</v>
      </c>
      <c r="P7">
        <v>611.13099999999997</v>
      </c>
    </row>
    <row r="8" spans="1:16" x14ac:dyDescent="0.2">
      <c r="A8">
        <v>9</v>
      </c>
      <c r="B8">
        <v>1</v>
      </c>
      <c r="C8" t="s">
        <v>44</v>
      </c>
      <c r="D8">
        <v>2.1030000000000002</v>
      </c>
      <c r="E8">
        <f t="shared" si="0"/>
        <v>2103</v>
      </c>
      <c r="F8" t="s">
        <v>19</v>
      </c>
      <c r="G8" s="1">
        <v>45961.470821759256</v>
      </c>
      <c r="H8">
        <v>1004.802</v>
      </c>
      <c r="I8">
        <v>270076.04499999998</v>
      </c>
      <c r="J8">
        <v>3046.7930000000001</v>
      </c>
      <c r="K8">
        <v>6.3029999999999999</v>
      </c>
      <c r="L8">
        <v>37.985999999999997</v>
      </c>
      <c r="M8">
        <v>0.441</v>
      </c>
      <c r="N8">
        <v>75</v>
      </c>
      <c r="O8">
        <v>464</v>
      </c>
      <c r="P8">
        <v>582.649</v>
      </c>
    </row>
    <row r="9" spans="1:16" x14ac:dyDescent="0.2">
      <c r="A9">
        <v>10</v>
      </c>
      <c r="B9">
        <v>1</v>
      </c>
      <c r="C9" t="s">
        <v>45</v>
      </c>
      <c r="D9">
        <v>2.1709999999999998</v>
      </c>
      <c r="E9">
        <f t="shared" si="0"/>
        <v>2171</v>
      </c>
      <c r="F9" t="s">
        <v>20</v>
      </c>
      <c r="G9" s="1">
        <v>45961.48133101852</v>
      </c>
      <c r="H9">
        <v>1011.2569999999999</v>
      </c>
      <c r="I9">
        <v>268588.505</v>
      </c>
      <c r="J9">
        <v>3030.4769999999999</v>
      </c>
      <c r="K9">
        <v>6.5650000000000004</v>
      </c>
      <c r="L9">
        <v>30.559000000000001</v>
      </c>
      <c r="M9">
        <v>0.35799999999999998</v>
      </c>
      <c r="N9">
        <v>75</v>
      </c>
      <c r="O9">
        <v>449</v>
      </c>
      <c r="P9">
        <v>564.47299999999996</v>
      </c>
    </row>
    <row r="10" spans="1:16" x14ac:dyDescent="0.2">
      <c r="A10">
        <v>11</v>
      </c>
      <c r="B10">
        <v>1</v>
      </c>
      <c r="C10" t="s">
        <v>46</v>
      </c>
      <c r="D10">
        <v>2.4449999999999998</v>
      </c>
      <c r="E10">
        <f t="shared" si="0"/>
        <v>2445</v>
      </c>
      <c r="F10" t="s">
        <v>21</v>
      </c>
      <c r="G10" s="1">
        <v>45961.492175925923</v>
      </c>
      <c r="H10">
        <v>1082.048</v>
      </c>
      <c r="I10">
        <v>289966.47600000002</v>
      </c>
      <c r="J10">
        <v>3271.2170000000001</v>
      </c>
      <c r="K10">
        <v>6.5510000000000002</v>
      </c>
      <c r="L10">
        <v>24.763000000000002</v>
      </c>
      <c r="M10">
        <v>0.29299999999999998</v>
      </c>
      <c r="N10">
        <v>75</v>
      </c>
      <c r="O10">
        <v>451</v>
      </c>
      <c r="P10">
        <v>567.58199999999999</v>
      </c>
    </row>
    <row r="11" spans="1:16" x14ac:dyDescent="0.2">
      <c r="A11">
        <v>12</v>
      </c>
      <c r="B11">
        <v>1</v>
      </c>
      <c r="C11" t="s">
        <v>47</v>
      </c>
      <c r="D11">
        <v>2.9510000000000001</v>
      </c>
      <c r="E11">
        <f t="shared" si="0"/>
        <v>2951</v>
      </c>
      <c r="F11" t="s">
        <v>22</v>
      </c>
      <c r="G11" s="1">
        <v>45961.502905092595</v>
      </c>
      <c r="H11">
        <v>1137.518</v>
      </c>
      <c r="I11">
        <v>304894.125</v>
      </c>
      <c r="J11">
        <v>3436.692</v>
      </c>
      <c r="K11">
        <v>5.6959999999999997</v>
      </c>
      <c r="L11">
        <v>22.507000000000001</v>
      </c>
      <c r="M11">
        <v>0.26800000000000002</v>
      </c>
      <c r="N11">
        <v>75</v>
      </c>
      <c r="O11">
        <v>451</v>
      </c>
      <c r="P11">
        <v>567.452</v>
      </c>
    </row>
    <row r="12" spans="1:16" x14ac:dyDescent="0.2">
      <c r="A12">
        <v>14</v>
      </c>
      <c r="B12">
        <v>1</v>
      </c>
      <c r="C12" t="s">
        <v>48</v>
      </c>
      <c r="D12">
        <v>1.758</v>
      </c>
      <c r="E12">
        <f t="shared" si="0"/>
        <v>1758</v>
      </c>
      <c r="F12" t="s">
        <v>23</v>
      </c>
      <c r="G12" s="1">
        <v>45961.533275462964</v>
      </c>
      <c r="H12">
        <v>429.608</v>
      </c>
      <c r="I12">
        <v>267944.51899999997</v>
      </c>
      <c r="J12">
        <v>3010.3009999999999</v>
      </c>
      <c r="K12">
        <v>2.173</v>
      </c>
      <c r="L12">
        <v>4.5990000000000002</v>
      </c>
      <c r="M12">
        <v>6.5000000000000002E-2</v>
      </c>
      <c r="N12">
        <v>75</v>
      </c>
      <c r="O12">
        <v>1020</v>
      </c>
      <c r="P12">
        <v>1284.239</v>
      </c>
    </row>
    <row r="13" spans="1:16" x14ac:dyDescent="0.2">
      <c r="A13">
        <v>16</v>
      </c>
      <c r="B13">
        <v>1</v>
      </c>
      <c r="C13" t="s">
        <v>49</v>
      </c>
      <c r="D13">
        <v>15.063000000000001</v>
      </c>
      <c r="E13">
        <f t="shared" si="0"/>
        <v>15063</v>
      </c>
      <c r="F13" t="s">
        <v>24</v>
      </c>
      <c r="G13" s="1">
        <v>45961.552303240744</v>
      </c>
      <c r="H13">
        <v>900.91700000000003</v>
      </c>
      <c r="I13">
        <v>240247.30600000001</v>
      </c>
      <c r="J13">
        <v>2695.018</v>
      </c>
      <c r="K13">
        <v>0.88300000000000001</v>
      </c>
      <c r="L13">
        <v>2.3380000000000001</v>
      </c>
      <c r="M13">
        <v>0.04</v>
      </c>
      <c r="N13">
        <v>75</v>
      </c>
      <c r="O13">
        <v>413</v>
      </c>
      <c r="P13">
        <v>519.60500000000002</v>
      </c>
    </row>
    <row r="14" spans="1:16" x14ac:dyDescent="0.2">
      <c r="A14">
        <v>17</v>
      </c>
      <c r="B14">
        <v>1</v>
      </c>
      <c r="C14" t="s">
        <v>50</v>
      </c>
      <c r="D14">
        <v>6.7960000000000003</v>
      </c>
      <c r="E14">
        <f t="shared" si="0"/>
        <v>6796</v>
      </c>
      <c r="F14" t="s">
        <v>25</v>
      </c>
      <c r="G14" s="1">
        <v>45961.563900462963</v>
      </c>
      <c r="H14">
        <v>1754.704</v>
      </c>
      <c r="I14">
        <v>479160.28700000001</v>
      </c>
      <c r="J14">
        <v>5390.6149999999998</v>
      </c>
      <c r="K14">
        <v>3.66</v>
      </c>
      <c r="L14">
        <v>10.66</v>
      </c>
      <c r="M14">
        <v>0.13200000000000001</v>
      </c>
      <c r="N14">
        <v>75</v>
      </c>
      <c r="O14">
        <v>480</v>
      </c>
      <c r="P14">
        <v>605.101</v>
      </c>
    </row>
    <row r="15" spans="1:16" x14ac:dyDescent="0.2">
      <c r="A15">
        <v>18</v>
      </c>
      <c r="B15">
        <v>1</v>
      </c>
      <c r="C15" t="s">
        <v>51</v>
      </c>
      <c r="D15">
        <v>10.695</v>
      </c>
      <c r="E15">
        <f t="shared" si="0"/>
        <v>10695</v>
      </c>
      <c r="F15" t="s">
        <v>26</v>
      </c>
      <c r="G15" s="1">
        <v>45961.574884259258</v>
      </c>
      <c r="H15">
        <v>1912.172</v>
      </c>
      <c r="I15">
        <v>524168.34899999999</v>
      </c>
      <c r="J15">
        <v>5880.9840000000004</v>
      </c>
      <c r="K15">
        <v>1.111</v>
      </c>
      <c r="L15">
        <v>17.728999999999999</v>
      </c>
      <c r="M15">
        <v>0.21299999999999999</v>
      </c>
      <c r="N15">
        <v>75</v>
      </c>
      <c r="O15">
        <v>496</v>
      </c>
      <c r="P15">
        <v>625.39</v>
      </c>
    </row>
    <row r="16" spans="1:16" x14ac:dyDescent="0.2">
      <c r="A16">
        <v>19</v>
      </c>
      <c r="B16">
        <v>1</v>
      </c>
      <c r="C16" t="s">
        <v>52</v>
      </c>
      <c r="D16">
        <v>15.007999999999999</v>
      </c>
      <c r="E16">
        <f t="shared" si="0"/>
        <v>15008</v>
      </c>
      <c r="F16" t="s">
        <v>27</v>
      </c>
      <c r="G16" s="1">
        <v>45961.585439814815</v>
      </c>
      <c r="H16">
        <v>1616.5260000000001</v>
      </c>
      <c r="I16">
        <v>438382.41800000001</v>
      </c>
      <c r="J16">
        <v>4894.6779999999999</v>
      </c>
      <c r="K16">
        <v>-3.484</v>
      </c>
      <c r="L16">
        <v>22.692</v>
      </c>
      <c r="M16">
        <v>0.26900000000000002</v>
      </c>
      <c r="N16">
        <v>75</v>
      </c>
      <c r="O16">
        <v>479</v>
      </c>
      <c r="P16">
        <v>604.62599999999998</v>
      </c>
    </row>
    <row r="17" spans="1:16" x14ac:dyDescent="0.2">
      <c r="A17">
        <v>20</v>
      </c>
      <c r="B17">
        <v>1</v>
      </c>
      <c r="C17" t="s">
        <v>53</v>
      </c>
      <c r="D17">
        <v>15.144</v>
      </c>
      <c r="E17">
        <f t="shared" si="0"/>
        <v>15144</v>
      </c>
      <c r="F17" t="s">
        <v>28</v>
      </c>
      <c r="G17" s="1">
        <v>45961.596354166664</v>
      </c>
      <c r="H17">
        <v>1735.509</v>
      </c>
      <c r="I17">
        <v>474154.84299999999</v>
      </c>
      <c r="J17">
        <v>5242.6639999999998</v>
      </c>
      <c r="K17">
        <v>-13.198</v>
      </c>
      <c r="L17">
        <v>19.978999999999999</v>
      </c>
      <c r="M17">
        <v>0.23499999999999999</v>
      </c>
      <c r="N17">
        <v>75</v>
      </c>
      <c r="O17">
        <v>486</v>
      </c>
      <c r="P17">
        <v>612.00699999999995</v>
      </c>
    </row>
    <row r="18" spans="1:16" x14ac:dyDescent="0.2">
      <c r="A18">
        <v>21</v>
      </c>
      <c r="B18">
        <v>1</v>
      </c>
      <c r="C18" t="s">
        <v>54</v>
      </c>
      <c r="D18">
        <v>15.162000000000001</v>
      </c>
      <c r="E18">
        <f t="shared" si="0"/>
        <v>15162</v>
      </c>
      <c r="F18" t="s">
        <v>29</v>
      </c>
      <c r="G18" s="1">
        <v>45961.606307870374</v>
      </c>
      <c r="H18">
        <v>984.89499999999998</v>
      </c>
      <c r="I18">
        <v>259263.81099999999</v>
      </c>
      <c r="J18">
        <v>2897.2730000000001</v>
      </c>
      <c r="K18">
        <v>-3.4390000000000001</v>
      </c>
      <c r="L18">
        <v>21.263999999999999</v>
      </c>
      <c r="M18">
        <v>0.248</v>
      </c>
      <c r="N18">
        <v>75</v>
      </c>
      <c r="O18">
        <v>426</v>
      </c>
      <c r="P18">
        <v>536.42399999999998</v>
      </c>
    </row>
    <row r="19" spans="1:16" ht="17" x14ac:dyDescent="0.2">
      <c r="A19">
        <v>23</v>
      </c>
      <c r="B19">
        <v>1</v>
      </c>
      <c r="C19" s="2" t="s">
        <v>37</v>
      </c>
      <c r="D19" s="2">
        <v>1.032</v>
      </c>
      <c r="E19">
        <f t="shared" si="0"/>
        <v>1032</v>
      </c>
      <c r="F19" t="s">
        <v>30</v>
      </c>
      <c r="G19" s="1">
        <v>45961.627812500003</v>
      </c>
      <c r="H19">
        <v>576.39700000000005</v>
      </c>
      <c r="I19">
        <v>163147.79800000001</v>
      </c>
      <c r="J19">
        <v>1831.787</v>
      </c>
      <c r="K19">
        <v>2.0539999999999998</v>
      </c>
      <c r="L19">
        <v>1.246</v>
      </c>
      <c r="M19">
        <v>2.9000000000000001E-2</v>
      </c>
      <c r="N19">
        <v>75</v>
      </c>
      <c r="O19">
        <v>395</v>
      </c>
      <c r="P19">
        <v>497.245</v>
      </c>
    </row>
    <row r="20" spans="1:16" x14ac:dyDescent="0.2">
      <c r="A20">
        <v>24</v>
      </c>
      <c r="B20">
        <v>1</v>
      </c>
      <c r="C20" t="s">
        <v>38</v>
      </c>
      <c r="D20">
        <v>1.5369999999999999</v>
      </c>
      <c r="E20">
        <f t="shared" si="0"/>
        <v>1537</v>
      </c>
      <c r="F20" t="s">
        <v>31</v>
      </c>
      <c r="G20" s="1">
        <v>45961.639745370368</v>
      </c>
      <c r="H20">
        <v>729.81</v>
      </c>
      <c r="I20">
        <v>238305.125</v>
      </c>
      <c r="J20">
        <v>2676.259</v>
      </c>
      <c r="K20">
        <v>2.1019999999999999</v>
      </c>
      <c r="L20">
        <v>9.6809999999999992</v>
      </c>
      <c r="M20">
        <v>0.123</v>
      </c>
      <c r="N20">
        <v>75</v>
      </c>
      <c r="O20">
        <v>471</v>
      </c>
      <c r="P20">
        <v>592.41800000000001</v>
      </c>
    </row>
    <row r="21" spans="1:16" x14ac:dyDescent="0.2">
      <c r="A21">
        <v>25</v>
      </c>
      <c r="B21">
        <v>1</v>
      </c>
      <c r="C21" t="s">
        <v>55</v>
      </c>
      <c r="D21">
        <v>2.032</v>
      </c>
      <c r="E21">
        <f t="shared" si="0"/>
        <v>2032</v>
      </c>
      <c r="F21" t="s">
        <v>32</v>
      </c>
      <c r="G21" s="1">
        <v>45961.651539351849</v>
      </c>
      <c r="H21">
        <v>860.97699999999998</v>
      </c>
      <c r="I21">
        <v>313685.23</v>
      </c>
      <c r="J21">
        <v>3522.68</v>
      </c>
      <c r="K21">
        <v>1.907</v>
      </c>
      <c r="L21">
        <v>23.69</v>
      </c>
      <c r="M21">
        <v>0.27900000000000003</v>
      </c>
      <c r="N21">
        <v>75</v>
      </c>
      <c r="O21">
        <v>540</v>
      </c>
      <c r="P21">
        <v>680.13300000000004</v>
      </c>
    </row>
    <row r="22" spans="1:16" x14ac:dyDescent="0.2">
      <c r="A22">
        <v>26</v>
      </c>
      <c r="B22">
        <v>1</v>
      </c>
      <c r="C22" t="s">
        <v>56</v>
      </c>
      <c r="D22">
        <v>2.4790000000000001</v>
      </c>
      <c r="E22">
        <f t="shared" si="0"/>
        <v>2479</v>
      </c>
      <c r="F22" t="s">
        <v>33</v>
      </c>
      <c r="G22" s="1">
        <v>45961.663217592592</v>
      </c>
      <c r="H22">
        <v>897.66</v>
      </c>
      <c r="I22">
        <v>358856.66</v>
      </c>
      <c r="J22">
        <v>4030.0419999999999</v>
      </c>
      <c r="K22">
        <v>2.2469999999999999</v>
      </c>
      <c r="L22">
        <v>50.537999999999997</v>
      </c>
      <c r="M22">
        <v>0.58299999999999996</v>
      </c>
      <c r="N22">
        <v>75</v>
      </c>
      <c r="O22">
        <v>599</v>
      </c>
      <c r="P22">
        <v>754.81899999999996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C218-D9FE-2545-BD43-9673A5101DF4}">
  <dimension ref="A1:AS32"/>
  <sheetViews>
    <sheetView topLeftCell="T1" zoomScale="141" zoomScaleNormal="139" workbookViewId="0">
      <selection activeCell="AD2" sqref="AD2:AD13"/>
    </sheetView>
  </sheetViews>
  <sheetFormatPr baseColWidth="10" defaultRowHeight="16" x14ac:dyDescent="0.2"/>
  <cols>
    <col min="3" max="3" width="8.1640625" customWidth="1"/>
    <col min="4" max="4" width="13" customWidth="1"/>
    <col min="5" max="5" width="12.1640625" customWidth="1"/>
    <col min="26" max="26" width="30" customWidth="1"/>
    <col min="27" max="27" width="8.83203125" customWidth="1"/>
    <col min="28" max="28" width="12.5" customWidth="1"/>
    <col min="33" max="33" width="12.1640625" bestFit="1" customWidth="1"/>
    <col min="34" max="34" width="12.83203125" bestFit="1" customWidth="1"/>
    <col min="43" max="43" width="12.1640625" bestFit="1" customWidth="1"/>
  </cols>
  <sheetData>
    <row r="1" spans="1:45" x14ac:dyDescent="0.2">
      <c r="A1" t="s">
        <v>0</v>
      </c>
      <c r="B1" t="s">
        <v>58</v>
      </c>
      <c r="C1" t="s">
        <v>34</v>
      </c>
      <c r="D1" t="s">
        <v>35</v>
      </c>
      <c r="E1" t="s">
        <v>36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R1" t="s">
        <v>79</v>
      </c>
      <c r="S1" t="s">
        <v>80</v>
      </c>
      <c r="T1" t="s">
        <v>82</v>
      </c>
      <c r="U1" t="s">
        <v>81</v>
      </c>
      <c r="V1" t="s">
        <v>59</v>
      </c>
      <c r="W1" t="s">
        <v>85</v>
      </c>
      <c r="X1" s="3" t="s">
        <v>60</v>
      </c>
      <c r="Y1" s="3" t="s">
        <v>61</v>
      </c>
      <c r="Z1" s="4" t="s">
        <v>62</v>
      </c>
      <c r="AA1" s="4" t="s">
        <v>63</v>
      </c>
      <c r="AB1" s="4" t="s">
        <v>64</v>
      </c>
      <c r="AC1" t="s">
        <v>86</v>
      </c>
      <c r="AD1" s="4" t="s">
        <v>88</v>
      </c>
      <c r="AE1" s="4" t="s">
        <v>87</v>
      </c>
      <c r="AF1" s="4" t="s">
        <v>65</v>
      </c>
      <c r="AG1" s="4" t="s">
        <v>66</v>
      </c>
      <c r="AH1" s="4" t="s">
        <v>67</v>
      </c>
      <c r="AJ1" s="4" t="s">
        <v>70</v>
      </c>
      <c r="AK1" s="6" t="s">
        <v>71</v>
      </c>
      <c r="AL1" t="s">
        <v>72</v>
      </c>
      <c r="AM1" t="s">
        <v>73</v>
      </c>
      <c r="AN1" t="s">
        <v>74</v>
      </c>
      <c r="AQ1" s="7" t="s">
        <v>75</v>
      </c>
      <c r="AR1" s="7" t="s">
        <v>76</v>
      </c>
      <c r="AS1" s="7"/>
    </row>
    <row r="2" spans="1:45" x14ac:dyDescent="0.2">
      <c r="A2">
        <v>7</v>
      </c>
      <c r="B2">
        <v>1</v>
      </c>
      <c r="C2" t="s">
        <v>42</v>
      </c>
      <c r="D2">
        <v>8.6980000000000004</v>
      </c>
      <c r="E2">
        <f>D2/1000</f>
        <v>8.6980000000000009E-3</v>
      </c>
      <c r="F2" t="s">
        <v>17</v>
      </c>
      <c r="G2" s="1">
        <v>45961.450057870374</v>
      </c>
      <c r="H2">
        <v>1566.021</v>
      </c>
      <c r="I2">
        <v>431539.61499999999</v>
      </c>
      <c r="J2">
        <v>4846.2209999999995</v>
      </c>
      <c r="K2">
        <v>2.206</v>
      </c>
      <c r="L2">
        <v>42.170999999999999</v>
      </c>
      <c r="M2">
        <v>0.48799999999999999</v>
      </c>
      <c r="N2">
        <v>75</v>
      </c>
      <c r="O2">
        <v>533</v>
      </c>
      <c r="P2">
        <v>670.65800000000002</v>
      </c>
      <c r="R2">
        <f>($AQ$31*I2)+$AR$31</f>
        <v>22.953639302959335</v>
      </c>
      <c r="S2">
        <f t="shared" ref="S2:S13" si="0">(R2*12.01)/10^6</f>
        <v>2.7567320802854159E-4</v>
      </c>
      <c r="T2">
        <f>S2/E2</f>
        <v>3.16938615806555E-2</v>
      </c>
      <c r="U2">
        <f t="shared" ref="U2:U13" si="1">T2*100</f>
        <v>3.1693861580655498</v>
      </c>
      <c r="V2">
        <f>(W2/100.089)*12.01</f>
        <v>2.5114912086642884</v>
      </c>
      <c r="W2" s="9">
        <v>20.930278399999999</v>
      </c>
      <c r="X2">
        <f>W2/100</f>
        <v>0.20930278399999999</v>
      </c>
      <c r="Y2">
        <f t="shared" ref="Y2:Y13" si="2">X2*E2</f>
        <v>1.8205156152320001E-3</v>
      </c>
      <c r="Z2" s="5">
        <f>($AG$2*I2)+$AH$2</f>
        <v>3.446392776227258E-4</v>
      </c>
      <c r="AA2" s="5">
        <f>Z2/E2</f>
        <v>3.9622818765546762E-2</v>
      </c>
      <c r="AB2">
        <f>AA2*100</f>
        <v>3.9622818765546763</v>
      </c>
      <c r="AC2">
        <f>AB2-V2</f>
        <v>1.4507906678903879</v>
      </c>
      <c r="AD2">
        <v>1.4507906678903879</v>
      </c>
      <c r="AG2">
        <f>SLOPE(AF25:AF32,AG25:AG32)</f>
        <v>8.1018338708457215E-10</v>
      </c>
      <c r="AH2">
        <f>INTERCEPT(AF25:AF32,AG25:AG32)</f>
        <v>-4.9869493191464142E-6</v>
      </c>
      <c r="AJ2">
        <v>0.9647</v>
      </c>
      <c r="AK2">
        <f>AVERAGE(K14:K21)</f>
        <v>1.9804999999999999</v>
      </c>
      <c r="AL2">
        <f>2*STDEV(K14:K21)</f>
        <v>0.33450005338457822</v>
      </c>
      <c r="AM2">
        <f>COUNT(G14:G21)</f>
        <v>8</v>
      </c>
      <c r="AN2">
        <f>AL2/SQRT(AM2)</f>
        <v>0.1182636280277487</v>
      </c>
      <c r="AP2" s="4" t="s">
        <v>77</v>
      </c>
      <c r="AQ2">
        <v>-4.7919999999999998</v>
      </c>
      <c r="AR2">
        <v>0.21099999999999999</v>
      </c>
    </row>
    <row r="3" spans="1:45" x14ac:dyDescent="0.2">
      <c r="A3">
        <v>8</v>
      </c>
      <c r="B3">
        <v>2</v>
      </c>
      <c r="C3" t="s">
        <v>43</v>
      </c>
      <c r="D3">
        <v>3.657</v>
      </c>
      <c r="E3">
        <f t="shared" ref="E3:E22" si="3">D3/1000</f>
        <v>3.6570000000000001E-3</v>
      </c>
      <c r="F3" t="s">
        <v>18</v>
      </c>
      <c r="G3" s="1">
        <v>45961.46025462963</v>
      </c>
      <c r="H3">
        <v>1172.49</v>
      </c>
      <c r="I3">
        <v>313073.50300000003</v>
      </c>
      <c r="J3">
        <v>3531.348</v>
      </c>
      <c r="K3">
        <v>6.0579999999999998</v>
      </c>
      <c r="L3">
        <v>50.454999999999998</v>
      </c>
      <c r="M3">
        <v>0.57999999999999996</v>
      </c>
      <c r="N3">
        <v>75</v>
      </c>
      <c r="O3">
        <v>486</v>
      </c>
      <c r="P3">
        <v>611.13099999999997</v>
      </c>
      <c r="R3">
        <f t="shared" ref="R3:R13" si="4">($AQ$31*I3)+$AR$31</f>
        <v>19.742052077900091</v>
      </c>
      <c r="S3">
        <f t="shared" si="0"/>
        <v>2.3710204545558008E-4</v>
      </c>
      <c r="T3">
        <f t="shared" ref="T3:T13" si="5">S3/E3</f>
        <v>6.4835123176259252E-2</v>
      </c>
      <c r="U3">
        <f t="shared" si="1"/>
        <v>6.4835123176259248</v>
      </c>
      <c r="V3">
        <f t="shared" ref="V3:V13" si="6">(W3/100.089)*12.01</f>
        <v>6.2868084241525048</v>
      </c>
      <c r="W3" s="9">
        <v>52.393036500000001</v>
      </c>
      <c r="X3">
        <f t="shared" ref="X3:X13" si="7">W3/100</f>
        <v>0.52393036500000001</v>
      </c>
      <c r="Y3">
        <f t="shared" si="2"/>
        <v>1.9160133448050001E-3</v>
      </c>
      <c r="Z3" s="5">
        <f t="shared" ref="Z3:Z13" si="8">($AG$2*I3)+$AH$2</f>
        <v>2.4866000174782557E-4</v>
      </c>
      <c r="AA3">
        <f t="shared" ref="AA3:AA13" si="9">Z3/E3</f>
        <v>6.799562530703461E-2</v>
      </c>
      <c r="AB3">
        <f t="shared" ref="AB3:AB13" si="10">AA3*100</f>
        <v>6.7995625307034606</v>
      </c>
      <c r="AC3">
        <f t="shared" ref="AC3:AC13" si="11">AB3-V3</f>
        <v>0.51275410655095577</v>
      </c>
      <c r="AD3">
        <v>0.51275410655095577</v>
      </c>
    </row>
    <row r="4" spans="1:45" x14ac:dyDescent="0.2">
      <c r="A4">
        <v>9</v>
      </c>
      <c r="B4">
        <v>3</v>
      </c>
      <c r="C4" t="s">
        <v>44</v>
      </c>
      <c r="D4">
        <v>2.1030000000000002</v>
      </c>
      <c r="E4">
        <f t="shared" si="3"/>
        <v>2.1030000000000003E-3</v>
      </c>
      <c r="F4" t="s">
        <v>19</v>
      </c>
      <c r="G4" s="1">
        <v>45961.470821759256</v>
      </c>
      <c r="H4">
        <v>1004.802</v>
      </c>
      <c r="I4">
        <v>270076.04499999998</v>
      </c>
      <c r="J4">
        <v>3046.7930000000001</v>
      </c>
      <c r="K4">
        <v>6.3029999999999999</v>
      </c>
      <c r="L4">
        <v>37.985999999999997</v>
      </c>
      <c r="M4">
        <v>0.441</v>
      </c>
      <c r="N4">
        <v>75</v>
      </c>
      <c r="O4">
        <v>464</v>
      </c>
      <c r="P4">
        <v>582.649</v>
      </c>
      <c r="R4">
        <f t="shared" si="4"/>
        <v>18.576401542979003</v>
      </c>
      <c r="S4">
        <f t="shared" si="0"/>
        <v>2.2310258253117784E-4</v>
      </c>
      <c r="T4">
        <f t="shared" si="5"/>
        <v>0.10608777105619487</v>
      </c>
      <c r="U4">
        <f t="shared" si="1"/>
        <v>10.608777105619486</v>
      </c>
      <c r="V4" s="8">
        <f t="shared" si="6"/>
        <v>11.051953988070618</v>
      </c>
      <c r="W4" s="9">
        <v>92.104831200000007</v>
      </c>
      <c r="X4">
        <f t="shared" si="7"/>
        <v>0.92104831200000004</v>
      </c>
      <c r="Y4">
        <f t="shared" si="2"/>
        <v>1.9369646001360004E-3</v>
      </c>
      <c r="Z4" s="5">
        <f t="shared" si="8"/>
        <v>2.1382417558935891E-4</v>
      </c>
      <c r="AA4">
        <f t="shared" si="9"/>
        <v>0.10167578487368469</v>
      </c>
      <c r="AB4">
        <f t="shared" si="10"/>
        <v>10.167578487368468</v>
      </c>
      <c r="AC4" s="8">
        <f t="shared" si="11"/>
        <v>-0.88437550070215032</v>
      </c>
      <c r="AD4" s="8">
        <v>1.0000000000000001E-17</v>
      </c>
      <c r="AE4" s="8"/>
      <c r="AP4" s="4" t="s">
        <v>78</v>
      </c>
      <c r="AQ4">
        <f>AK2-AQ2</f>
        <v>6.7725</v>
      </c>
      <c r="AR4">
        <f>SQRT((AN2^2) + (AR2^2))</f>
        <v>0.24188279334067089</v>
      </c>
    </row>
    <row r="5" spans="1:45" x14ac:dyDescent="0.2">
      <c r="A5">
        <v>10</v>
      </c>
      <c r="B5">
        <v>4</v>
      </c>
      <c r="C5" t="s">
        <v>45</v>
      </c>
      <c r="D5">
        <v>2.1709999999999998</v>
      </c>
      <c r="E5">
        <f t="shared" si="3"/>
        <v>2.1709999999999998E-3</v>
      </c>
      <c r="F5" t="s">
        <v>20</v>
      </c>
      <c r="G5" s="1">
        <v>45961.48133101852</v>
      </c>
      <c r="H5">
        <v>1011.2569999999999</v>
      </c>
      <c r="I5">
        <v>268588.505</v>
      </c>
      <c r="J5">
        <v>3030.4769999999999</v>
      </c>
      <c r="K5">
        <v>6.5650000000000004</v>
      </c>
      <c r="L5">
        <v>30.559000000000001</v>
      </c>
      <c r="M5">
        <v>0.35799999999999998</v>
      </c>
      <c r="N5">
        <v>75</v>
      </c>
      <c r="O5">
        <v>449</v>
      </c>
      <c r="P5">
        <v>564.47299999999996</v>
      </c>
      <c r="R5">
        <f t="shared" si="4"/>
        <v>18.536074698617263</v>
      </c>
      <c r="S5">
        <f t="shared" si="0"/>
        <v>2.2261825713039331E-4</v>
      </c>
      <c r="T5">
        <f t="shared" si="5"/>
        <v>0.1025418042977399</v>
      </c>
      <c r="U5">
        <f t="shared" si="1"/>
        <v>10.25418042977399</v>
      </c>
      <c r="V5" s="8">
        <f t="shared" si="6"/>
        <v>10.75281675706621</v>
      </c>
      <c r="W5" s="9">
        <v>89.611879799999997</v>
      </c>
      <c r="X5">
        <f t="shared" si="7"/>
        <v>0.89611879799999994</v>
      </c>
      <c r="Y5">
        <f t="shared" si="2"/>
        <v>1.9454739104579997E-3</v>
      </c>
      <c r="Z5" s="5">
        <f t="shared" si="8"/>
        <v>2.1261899539373513E-4</v>
      </c>
      <c r="AA5">
        <f t="shared" si="9"/>
        <v>9.793597208371034E-2</v>
      </c>
      <c r="AB5">
        <f t="shared" si="10"/>
        <v>9.7935972083710343</v>
      </c>
      <c r="AC5" s="8">
        <f t="shared" si="11"/>
        <v>-0.95921954869517556</v>
      </c>
      <c r="AD5" s="8">
        <v>1.0000000000000001E-17</v>
      </c>
      <c r="AE5" s="8"/>
    </row>
    <row r="6" spans="1:45" x14ac:dyDescent="0.2">
      <c r="A6">
        <v>11</v>
      </c>
      <c r="B6">
        <v>5</v>
      </c>
      <c r="C6" t="s">
        <v>46</v>
      </c>
      <c r="D6">
        <v>2.4449999999999998</v>
      </c>
      <c r="E6">
        <f t="shared" si="3"/>
        <v>2.4449999999999997E-3</v>
      </c>
      <c r="F6" t="s">
        <v>21</v>
      </c>
      <c r="G6" s="1">
        <v>45961.492175925923</v>
      </c>
      <c r="H6">
        <v>1082.048</v>
      </c>
      <c r="I6">
        <v>289966.47600000002</v>
      </c>
      <c r="J6">
        <v>3271.2170000000001</v>
      </c>
      <c r="K6">
        <v>6.5510000000000002</v>
      </c>
      <c r="L6">
        <v>24.763000000000002</v>
      </c>
      <c r="M6">
        <v>0.29299999999999998</v>
      </c>
      <c r="N6">
        <v>75</v>
      </c>
      <c r="O6">
        <v>451</v>
      </c>
      <c r="P6">
        <v>567.58199999999999</v>
      </c>
      <c r="R6">
        <f t="shared" si="4"/>
        <v>19.115626246331487</v>
      </c>
      <c r="S6">
        <f t="shared" si="0"/>
        <v>2.2957867121844118E-4</v>
      </c>
      <c r="T6">
        <f t="shared" si="5"/>
        <v>9.3897207042307237E-2</v>
      </c>
      <c r="U6">
        <f t="shared" si="1"/>
        <v>9.389720704230724</v>
      </c>
      <c r="V6" s="8">
        <f t="shared" si="6"/>
        <v>9.4857319027565463</v>
      </c>
      <c r="W6" s="9">
        <v>79.052241499999994</v>
      </c>
      <c r="X6">
        <f t="shared" si="7"/>
        <v>0.79052241499999998</v>
      </c>
      <c r="Y6">
        <f t="shared" si="2"/>
        <v>1.9328273046749997E-3</v>
      </c>
      <c r="Z6" s="5">
        <f t="shared" si="8"/>
        <v>2.299390723475109E-4</v>
      </c>
      <c r="AA6">
        <f t="shared" si="9"/>
        <v>9.4044610367080131E-2</v>
      </c>
      <c r="AB6">
        <f t="shared" si="10"/>
        <v>9.4044610367080139</v>
      </c>
      <c r="AC6" s="8">
        <f t="shared" si="11"/>
        <v>-8.1270866048532397E-2</v>
      </c>
      <c r="AD6" s="8">
        <v>1.0000000000000001E-17</v>
      </c>
      <c r="AE6" s="8"/>
    </row>
    <row r="7" spans="1:45" x14ac:dyDescent="0.2">
      <c r="A7">
        <v>12</v>
      </c>
      <c r="B7">
        <v>6</v>
      </c>
      <c r="C7" t="s">
        <v>47</v>
      </c>
      <c r="D7">
        <v>2.9510000000000001</v>
      </c>
      <c r="E7">
        <f t="shared" si="3"/>
        <v>2.9510000000000001E-3</v>
      </c>
      <c r="F7" t="s">
        <v>22</v>
      </c>
      <c r="G7" s="1">
        <v>45961.502905092595</v>
      </c>
      <c r="H7">
        <v>1137.518</v>
      </c>
      <c r="I7">
        <v>304894.125</v>
      </c>
      <c r="J7">
        <v>3436.692</v>
      </c>
      <c r="K7">
        <v>5.6959999999999997</v>
      </c>
      <c r="L7">
        <v>22.507000000000001</v>
      </c>
      <c r="M7">
        <v>0.26800000000000002</v>
      </c>
      <c r="N7">
        <v>75</v>
      </c>
      <c r="O7">
        <v>451</v>
      </c>
      <c r="P7">
        <v>567.452</v>
      </c>
      <c r="R7">
        <f t="shared" si="4"/>
        <v>19.520311147517141</v>
      </c>
      <c r="S7">
        <f t="shared" si="0"/>
        <v>2.3443893688168086E-4</v>
      </c>
      <c r="T7">
        <f t="shared" si="5"/>
        <v>7.9443895927374067E-2</v>
      </c>
      <c r="U7">
        <f t="shared" si="1"/>
        <v>7.9443895927374069</v>
      </c>
      <c r="V7">
        <f t="shared" si="6"/>
        <v>7.8448203703204156</v>
      </c>
      <c r="W7" s="9">
        <v>65.377204500000005</v>
      </c>
      <c r="X7">
        <f t="shared" si="7"/>
        <v>0.65377204500000008</v>
      </c>
      <c r="Y7">
        <f t="shared" si="2"/>
        <v>1.9292813047950004E-3</v>
      </c>
      <c r="Z7" s="5">
        <f t="shared" si="8"/>
        <v>2.4203320557554054E-4</v>
      </c>
      <c r="AA7">
        <f t="shared" si="9"/>
        <v>8.2017351940203501E-2</v>
      </c>
      <c r="AB7">
        <f t="shared" si="10"/>
        <v>8.2017351940203493</v>
      </c>
      <c r="AC7">
        <f t="shared" si="11"/>
        <v>0.35691482369993377</v>
      </c>
      <c r="AD7">
        <v>0.35691482369993377</v>
      </c>
    </row>
    <row r="8" spans="1:45" x14ac:dyDescent="0.2">
      <c r="A8">
        <v>16</v>
      </c>
      <c r="B8">
        <v>7</v>
      </c>
      <c r="C8" t="s">
        <v>49</v>
      </c>
      <c r="D8">
        <v>15.063000000000001</v>
      </c>
      <c r="E8">
        <f t="shared" si="3"/>
        <v>1.5063E-2</v>
      </c>
      <c r="F8" t="s">
        <v>24</v>
      </c>
      <c r="G8" s="1">
        <v>45961.552303240744</v>
      </c>
      <c r="H8">
        <v>900.91700000000003</v>
      </c>
      <c r="I8">
        <v>240247.30600000001</v>
      </c>
      <c r="J8">
        <v>2695.018</v>
      </c>
      <c r="K8">
        <v>0.88300000000000001</v>
      </c>
      <c r="L8">
        <v>2.3380000000000001</v>
      </c>
      <c r="M8">
        <v>0.04</v>
      </c>
      <c r="N8">
        <v>75</v>
      </c>
      <c r="O8">
        <v>413</v>
      </c>
      <c r="P8">
        <v>519.60500000000002</v>
      </c>
      <c r="R8">
        <f t="shared" si="4"/>
        <v>17.767751748580192</v>
      </c>
      <c r="S8">
        <f t="shared" si="0"/>
        <v>2.1339069850044812E-4</v>
      </c>
      <c r="T8">
        <f t="shared" si="5"/>
        <v>1.4166547069006713E-2</v>
      </c>
      <c r="U8">
        <f t="shared" si="1"/>
        <v>1.4166547069006714</v>
      </c>
      <c r="V8">
        <f t="shared" si="6"/>
        <v>0.5661557041563009</v>
      </c>
      <c r="W8" s="9">
        <v>4.7182313300000001</v>
      </c>
      <c r="X8">
        <f t="shared" si="7"/>
        <v>4.7182313300000001E-2</v>
      </c>
      <c r="Y8">
        <f t="shared" si="2"/>
        <v>7.1070718523789998E-4</v>
      </c>
      <c r="Z8" s="5">
        <f t="shared" si="8"/>
        <v>1.8965742679387723E-4</v>
      </c>
      <c r="AA8">
        <f t="shared" si="9"/>
        <v>1.259094647771873E-2</v>
      </c>
      <c r="AB8">
        <f t="shared" si="10"/>
        <v>1.259094647771873</v>
      </c>
      <c r="AC8">
        <f t="shared" si="11"/>
        <v>0.69293894361557207</v>
      </c>
      <c r="AD8">
        <v>0.69293894361557207</v>
      </c>
    </row>
    <row r="9" spans="1:45" x14ac:dyDescent="0.2">
      <c r="A9">
        <v>17</v>
      </c>
      <c r="B9">
        <v>8</v>
      </c>
      <c r="C9" t="s">
        <v>50</v>
      </c>
      <c r="D9">
        <v>6.7960000000000003</v>
      </c>
      <c r="E9">
        <f t="shared" si="3"/>
        <v>6.796E-3</v>
      </c>
      <c r="F9" t="s">
        <v>25</v>
      </c>
      <c r="G9" s="1">
        <v>45961.563900462963</v>
      </c>
      <c r="H9">
        <v>1754.704</v>
      </c>
      <c r="I9">
        <v>479160.28700000001</v>
      </c>
      <c r="J9">
        <v>5390.6149999999998</v>
      </c>
      <c r="K9">
        <v>3.66</v>
      </c>
      <c r="L9">
        <v>10.66</v>
      </c>
      <c r="M9">
        <v>0.13200000000000001</v>
      </c>
      <c r="N9">
        <v>75</v>
      </c>
      <c r="O9">
        <v>480</v>
      </c>
      <c r="P9">
        <v>605.101</v>
      </c>
      <c r="R9">
        <f t="shared" si="4"/>
        <v>24.244624034896319</v>
      </c>
      <c r="S9">
        <f t="shared" si="0"/>
        <v>2.9117793465910477E-4</v>
      </c>
      <c r="T9">
        <f t="shared" si="5"/>
        <v>4.2845487736772332E-2</v>
      </c>
      <c r="U9">
        <f t="shared" si="1"/>
        <v>4.2845487736772334</v>
      </c>
      <c r="V9">
        <f t="shared" si="6"/>
        <v>3.2931090618649406</v>
      </c>
      <c r="W9" s="9">
        <v>27.4441293</v>
      </c>
      <c r="X9">
        <f t="shared" si="7"/>
        <v>0.27444129299999998</v>
      </c>
      <c r="Y9">
        <f t="shared" si="2"/>
        <v>1.8651030272279999E-3</v>
      </c>
      <c r="Z9" s="5">
        <f t="shared" si="8"/>
        <v>3.8322075495892928E-4</v>
      </c>
      <c r="AA9">
        <f t="shared" si="9"/>
        <v>5.6389163472473407E-2</v>
      </c>
      <c r="AB9">
        <f t="shared" si="10"/>
        <v>5.6389163472473403</v>
      </c>
      <c r="AC9">
        <f t="shared" si="11"/>
        <v>2.3458072853823997</v>
      </c>
      <c r="AD9">
        <v>2.3458072853823997</v>
      </c>
    </row>
    <row r="10" spans="1:45" x14ac:dyDescent="0.2">
      <c r="A10">
        <v>18</v>
      </c>
      <c r="B10">
        <v>9</v>
      </c>
      <c r="C10" t="s">
        <v>51</v>
      </c>
      <c r="D10">
        <v>10.695</v>
      </c>
      <c r="E10">
        <f t="shared" si="3"/>
        <v>1.0695E-2</v>
      </c>
      <c r="F10" t="s">
        <v>26</v>
      </c>
      <c r="G10" s="1">
        <v>45961.574884259258</v>
      </c>
      <c r="H10">
        <v>1912.172</v>
      </c>
      <c r="I10">
        <v>524168.34899999999</v>
      </c>
      <c r="J10">
        <v>5880.9840000000004</v>
      </c>
      <c r="K10">
        <v>1.111</v>
      </c>
      <c r="L10">
        <v>17.728999999999999</v>
      </c>
      <c r="M10">
        <v>0.21299999999999999</v>
      </c>
      <c r="N10">
        <v>75</v>
      </c>
      <c r="O10">
        <v>496</v>
      </c>
      <c r="P10">
        <v>625.39</v>
      </c>
      <c r="R10">
        <f t="shared" si="4"/>
        <v>25.464781550860668</v>
      </c>
      <c r="S10">
        <f t="shared" si="0"/>
        <v>3.0583202642583658E-4</v>
      </c>
      <c r="T10">
        <f t="shared" si="5"/>
        <v>2.8595794897226422E-2</v>
      </c>
      <c r="U10">
        <f t="shared" si="1"/>
        <v>2.8595794897226421</v>
      </c>
      <c r="V10">
        <f t="shared" si="6"/>
        <v>2.0849559428708448</v>
      </c>
      <c r="W10" s="9">
        <v>17.375616600000001</v>
      </c>
      <c r="X10">
        <f t="shared" si="7"/>
        <v>0.17375616600000002</v>
      </c>
      <c r="Y10">
        <f t="shared" si="2"/>
        <v>1.8583221953700001E-3</v>
      </c>
      <c r="Z10" s="5">
        <f t="shared" si="8"/>
        <v>4.1968553907620169E-4</v>
      </c>
      <c r="AA10">
        <f t="shared" si="9"/>
        <v>3.9241284626105814E-2</v>
      </c>
      <c r="AB10">
        <f t="shared" si="10"/>
        <v>3.9241284626105815</v>
      </c>
      <c r="AC10">
        <f t="shared" si="11"/>
        <v>1.8391725197397366</v>
      </c>
      <c r="AD10">
        <v>1.8391725197397366</v>
      </c>
    </row>
    <row r="11" spans="1:45" x14ac:dyDescent="0.2">
      <c r="A11">
        <v>19</v>
      </c>
      <c r="B11">
        <v>10</v>
      </c>
      <c r="C11" t="s">
        <v>52</v>
      </c>
      <c r="D11">
        <v>15.007999999999999</v>
      </c>
      <c r="E11">
        <f t="shared" si="3"/>
        <v>1.5007999999999999E-2</v>
      </c>
      <c r="F11" t="s">
        <v>27</v>
      </c>
      <c r="G11" s="1">
        <v>45961.585439814815</v>
      </c>
      <c r="H11">
        <v>1616.5260000000001</v>
      </c>
      <c r="I11">
        <v>438382.41800000001</v>
      </c>
      <c r="J11">
        <v>4894.6779999999999</v>
      </c>
      <c r="K11">
        <v>-3.484</v>
      </c>
      <c r="L11">
        <v>22.692</v>
      </c>
      <c r="M11">
        <v>0.26900000000000002</v>
      </c>
      <c r="N11">
        <v>75</v>
      </c>
      <c r="O11">
        <v>479</v>
      </c>
      <c r="P11">
        <v>604.62599999999998</v>
      </c>
      <c r="R11">
        <f t="shared" si="4"/>
        <v>23.139146013084144</v>
      </c>
      <c r="S11">
        <f t="shared" si="0"/>
        <v>2.7790114361714058E-4</v>
      </c>
      <c r="T11">
        <f t="shared" si="5"/>
        <v>1.8516867245278557E-2</v>
      </c>
      <c r="U11">
        <f t="shared" si="1"/>
        <v>1.8516867245278557</v>
      </c>
      <c r="V11">
        <f t="shared" si="6"/>
        <v>0.77073212354504494</v>
      </c>
      <c r="W11" s="9">
        <v>6.4231313500000002</v>
      </c>
      <c r="X11">
        <f t="shared" si="7"/>
        <v>6.4231313499999998E-2</v>
      </c>
      <c r="Y11">
        <f t="shared" si="2"/>
        <v>9.6398355300799992E-4</v>
      </c>
      <c r="Z11" s="5">
        <f t="shared" si="8"/>
        <v>3.501832029344183E-4</v>
      </c>
      <c r="AA11">
        <f t="shared" si="9"/>
        <v>2.3333102540939388E-2</v>
      </c>
      <c r="AB11">
        <f t="shared" si="10"/>
        <v>2.3333102540939388</v>
      </c>
      <c r="AC11">
        <f t="shared" si="11"/>
        <v>1.5625781305488937</v>
      </c>
      <c r="AD11">
        <v>1.5625781305488937</v>
      </c>
    </row>
    <row r="12" spans="1:45" x14ac:dyDescent="0.2">
      <c r="A12">
        <v>20</v>
      </c>
      <c r="B12">
        <v>11</v>
      </c>
      <c r="C12" t="s">
        <v>53</v>
      </c>
      <c r="D12">
        <v>15.144</v>
      </c>
      <c r="E12">
        <f t="shared" si="3"/>
        <v>1.5143999999999999E-2</v>
      </c>
      <c r="F12" t="s">
        <v>28</v>
      </c>
      <c r="G12" s="1">
        <v>45961.596354166664</v>
      </c>
      <c r="H12">
        <v>1735.509</v>
      </c>
      <c r="I12">
        <v>474154.84299999999</v>
      </c>
      <c r="J12">
        <v>5242.6639999999998</v>
      </c>
      <c r="K12">
        <v>-13.198</v>
      </c>
      <c r="L12">
        <v>19.978999999999999</v>
      </c>
      <c r="M12">
        <v>0.23499999999999999</v>
      </c>
      <c r="N12">
        <v>75</v>
      </c>
      <c r="O12">
        <v>486</v>
      </c>
      <c r="P12">
        <v>612.00699999999995</v>
      </c>
      <c r="R12">
        <f t="shared" si="4"/>
        <v>24.10892767637862</v>
      </c>
      <c r="S12">
        <f t="shared" si="0"/>
        <v>2.8954822139330726E-4</v>
      </c>
      <c r="T12">
        <f t="shared" si="5"/>
        <v>1.9119665966277555E-2</v>
      </c>
      <c r="U12">
        <f t="shared" si="1"/>
        <v>1.9119665966277555</v>
      </c>
      <c r="V12">
        <f t="shared" si="6"/>
        <v>0.12822071540928573</v>
      </c>
      <c r="W12" s="9">
        <v>1.06856646</v>
      </c>
      <c r="X12">
        <f t="shared" si="7"/>
        <v>1.06856646E-2</v>
      </c>
      <c r="Y12">
        <f t="shared" si="2"/>
        <v>1.6182370470239999E-4</v>
      </c>
      <c r="Z12" s="5">
        <f t="shared" si="8"/>
        <v>3.7916542738514712E-4</v>
      </c>
      <c r="AA12">
        <f t="shared" si="9"/>
        <v>2.5037336726436023E-2</v>
      </c>
      <c r="AB12">
        <f t="shared" si="10"/>
        <v>2.5037336726436021</v>
      </c>
      <c r="AC12">
        <f t="shared" si="11"/>
        <v>2.3755129572343163</v>
      </c>
      <c r="AD12">
        <v>2.3755129572343163</v>
      </c>
    </row>
    <row r="13" spans="1:45" x14ac:dyDescent="0.2">
      <c r="A13">
        <v>21</v>
      </c>
      <c r="B13">
        <v>12</v>
      </c>
      <c r="C13" t="s">
        <v>54</v>
      </c>
      <c r="D13">
        <v>15.162000000000001</v>
      </c>
      <c r="E13">
        <f t="shared" si="3"/>
        <v>1.5162E-2</v>
      </c>
      <c r="F13" t="s">
        <v>29</v>
      </c>
      <c r="G13" s="1">
        <v>45961.606307870374</v>
      </c>
      <c r="H13">
        <v>984.89499999999998</v>
      </c>
      <c r="I13">
        <v>259263.81099999999</v>
      </c>
      <c r="J13">
        <v>2897.2730000000001</v>
      </c>
      <c r="K13">
        <v>-3.4390000000000001</v>
      </c>
      <c r="L13">
        <v>21.263999999999999</v>
      </c>
      <c r="M13">
        <v>0.248</v>
      </c>
      <c r="N13">
        <v>75</v>
      </c>
      <c r="O13">
        <v>426</v>
      </c>
      <c r="P13">
        <v>536.42399999999998</v>
      </c>
      <c r="R13">
        <f t="shared" si="4"/>
        <v>18.283284532531734</v>
      </c>
      <c r="S13">
        <f t="shared" si="0"/>
        <v>2.1958224723570612E-4</v>
      </c>
      <c r="T13">
        <f t="shared" si="5"/>
        <v>1.4482406492263957E-2</v>
      </c>
      <c r="U13">
        <f t="shared" si="1"/>
        <v>1.4482406492263957</v>
      </c>
      <c r="V13">
        <f t="shared" si="6"/>
        <v>0.42367128835036816</v>
      </c>
      <c r="W13" s="9">
        <v>3.5307939699999999</v>
      </c>
      <c r="X13">
        <f t="shared" si="7"/>
        <v>3.5307939699999999E-2</v>
      </c>
      <c r="Y13">
        <f t="shared" si="2"/>
        <v>5.3533898173139995E-4</v>
      </c>
      <c r="Z13" s="5">
        <f t="shared" si="8"/>
        <v>2.0506428322528792E-4</v>
      </c>
      <c r="AA13">
        <f t="shared" si="9"/>
        <v>1.3524883473505337E-2</v>
      </c>
      <c r="AB13">
        <f t="shared" si="10"/>
        <v>1.3524883473505338</v>
      </c>
      <c r="AC13">
        <f t="shared" si="11"/>
        <v>0.92881705900016565</v>
      </c>
      <c r="AD13">
        <v>0.92881705900016565</v>
      </c>
    </row>
    <row r="14" spans="1:45" x14ac:dyDescent="0.2">
      <c r="A14">
        <v>2</v>
      </c>
      <c r="B14">
        <v>13</v>
      </c>
      <c r="C14" t="s">
        <v>57</v>
      </c>
      <c r="D14">
        <v>1.0149999999999999</v>
      </c>
      <c r="E14">
        <f t="shared" si="3"/>
        <v>1.0149999999999998E-3</v>
      </c>
      <c r="F14" t="s">
        <v>13</v>
      </c>
      <c r="G14" s="1">
        <v>45961.387592592589</v>
      </c>
      <c r="H14">
        <v>544.69500000000005</v>
      </c>
      <c r="I14">
        <v>157487.44899999999</v>
      </c>
      <c r="J14">
        <v>1768.3920000000001</v>
      </c>
      <c r="K14">
        <v>1.86</v>
      </c>
      <c r="L14">
        <v>-0.42199999999999999</v>
      </c>
      <c r="M14">
        <v>8.9999999999999993E-3</v>
      </c>
      <c r="N14">
        <v>75</v>
      </c>
      <c r="O14">
        <v>395</v>
      </c>
      <c r="P14">
        <v>496.197</v>
      </c>
      <c r="R14">
        <f>(D14*1000)/100.086</f>
        <v>10.141278500489578</v>
      </c>
      <c r="S14">
        <f>(R14*12.01)/10^6</f>
        <v>1.2179675479087983E-4</v>
      </c>
      <c r="T14">
        <f>S14/E14</f>
        <v>0.11999680274963533</v>
      </c>
      <c r="U14">
        <f>T14*100</f>
        <v>11.999680274963533</v>
      </c>
      <c r="AF14">
        <f t="shared" ref="AF14:AF22" si="12">E14*(12.01/100.086)</f>
        <v>1.2179675479087982E-4</v>
      </c>
    </row>
    <row r="15" spans="1:45" x14ac:dyDescent="0.2">
      <c r="A15">
        <v>3</v>
      </c>
      <c r="B15">
        <v>14</v>
      </c>
      <c r="C15" t="s">
        <v>39</v>
      </c>
      <c r="D15">
        <v>1.506</v>
      </c>
      <c r="E15">
        <f t="shared" si="3"/>
        <v>1.506E-3</v>
      </c>
      <c r="F15" t="s">
        <v>14</v>
      </c>
      <c r="G15" s="1">
        <v>45961.400092592594</v>
      </c>
      <c r="H15">
        <v>666.45100000000002</v>
      </c>
      <c r="I15">
        <v>217006.05100000001</v>
      </c>
      <c r="J15">
        <v>2437.5349999999999</v>
      </c>
      <c r="K15">
        <v>1.9319999999999999</v>
      </c>
      <c r="L15">
        <v>9.1679999999999993</v>
      </c>
      <c r="M15">
        <v>0.11600000000000001</v>
      </c>
      <c r="N15">
        <v>75</v>
      </c>
      <c r="O15">
        <v>521</v>
      </c>
      <c r="P15">
        <v>654.86900000000003</v>
      </c>
      <c r="R15">
        <f t="shared" ref="R15:R22" si="13">(D15*1000)/100.086</f>
        <v>15.047059528805228</v>
      </c>
      <c r="S15">
        <f t="shared" ref="S15:S22" si="14">(R15*12.01)/10^6</f>
        <v>1.8071518494095079E-4</v>
      </c>
      <c r="T15">
        <f t="shared" ref="T15:T22" si="15">S15/E15</f>
        <v>0.11999680274963531</v>
      </c>
      <c r="U15">
        <f t="shared" ref="U15:U22" si="16">T15*100</f>
        <v>11.999680274963531</v>
      </c>
      <c r="AF15">
        <f t="shared" si="12"/>
        <v>1.8071518494095079E-4</v>
      </c>
    </row>
    <row r="16" spans="1:45" x14ac:dyDescent="0.2">
      <c r="A16">
        <v>4</v>
      </c>
      <c r="B16">
        <v>15</v>
      </c>
      <c r="C16" t="s">
        <v>40</v>
      </c>
      <c r="D16">
        <v>2.0379999999999998</v>
      </c>
      <c r="E16">
        <f t="shared" si="3"/>
        <v>2.0379999999999999E-3</v>
      </c>
      <c r="F16" t="s">
        <v>15</v>
      </c>
      <c r="G16" s="1">
        <v>45961.416238425925</v>
      </c>
      <c r="H16">
        <v>27.510999999999999</v>
      </c>
      <c r="I16">
        <v>21936.112000000001</v>
      </c>
      <c r="J16">
        <v>245.88399999999999</v>
      </c>
      <c r="K16">
        <v>1.6779999999999999</v>
      </c>
      <c r="L16">
        <v>55.307000000000002</v>
      </c>
      <c r="M16">
        <v>0.63600000000000001</v>
      </c>
      <c r="N16">
        <v>75</v>
      </c>
      <c r="O16">
        <v>720</v>
      </c>
      <c r="P16">
        <v>904.73500000000001</v>
      </c>
      <c r="R16">
        <f t="shared" si="13"/>
        <v>20.362488260096317</v>
      </c>
      <c r="S16">
        <f t="shared" si="14"/>
        <v>2.4455348400375673E-4</v>
      </c>
      <c r="T16">
        <f t="shared" si="15"/>
        <v>0.1199968027496353</v>
      </c>
      <c r="U16">
        <f t="shared" si="16"/>
        <v>11.999680274963529</v>
      </c>
      <c r="AF16">
        <f t="shared" si="12"/>
        <v>2.4455348400375673E-4</v>
      </c>
    </row>
    <row r="17" spans="1:44" x14ac:dyDescent="0.2">
      <c r="A17">
        <v>5</v>
      </c>
      <c r="B17">
        <v>16</v>
      </c>
      <c r="C17" t="s">
        <v>41</v>
      </c>
      <c r="D17">
        <v>2.5059999999999998</v>
      </c>
      <c r="E17">
        <f t="shared" si="3"/>
        <v>2.506E-3</v>
      </c>
      <c r="F17" t="s">
        <v>16</v>
      </c>
      <c r="G17" s="1">
        <v>45961.429513888892</v>
      </c>
      <c r="H17">
        <v>1147.164</v>
      </c>
      <c r="I17">
        <v>386364.25300000003</v>
      </c>
      <c r="J17">
        <v>4338.5739999999996</v>
      </c>
      <c r="K17">
        <v>2.1379999999999999</v>
      </c>
      <c r="L17">
        <v>74.846000000000004</v>
      </c>
      <c r="M17">
        <v>0.85499999999999998</v>
      </c>
      <c r="N17">
        <v>75</v>
      </c>
      <c r="O17">
        <v>779</v>
      </c>
      <c r="P17">
        <v>980.32899999999995</v>
      </c>
      <c r="R17">
        <f t="shared" si="13"/>
        <v>25.038466918450133</v>
      </c>
      <c r="S17">
        <f t="shared" si="14"/>
        <v>3.0071198769058611E-4</v>
      </c>
      <c r="T17">
        <f t="shared" si="15"/>
        <v>0.11999680274963533</v>
      </c>
      <c r="U17">
        <f t="shared" si="16"/>
        <v>11.999680274963533</v>
      </c>
      <c r="AF17">
        <f t="shared" si="12"/>
        <v>3.0071198769058611E-4</v>
      </c>
    </row>
    <row r="18" spans="1:44" x14ac:dyDescent="0.2">
      <c r="A18">
        <v>14</v>
      </c>
      <c r="B18">
        <v>17</v>
      </c>
      <c r="C18" t="s">
        <v>48</v>
      </c>
      <c r="D18">
        <v>1.758</v>
      </c>
      <c r="E18">
        <f t="shared" si="3"/>
        <v>1.758E-3</v>
      </c>
      <c r="F18" t="s">
        <v>23</v>
      </c>
      <c r="G18" s="1">
        <v>45961.533275462964</v>
      </c>
      <c r="H18">
        <v>429.608</v>
      </c>
      <c r="I18">
        <v>267944.51899999997</v>
      </c>
      <c r="J18">
        <v>3010.3009999999999</v>
      </c>
      <c r="K18">
        <v>2.173</v>
      </c>
      <c r="L18">
        <v>4.5990000000000002</v>
      </c>
      <c r="M18">
        <v>6.5000000000000002E-2</v>
      </c>
      <c r="N18">
        <v>75</v>
      </c>
      <c r="O18">
        <v>1020</v>
      </c>
      <c r="P18">
        <v>1284.239</v>
      </c>
      <c r="R18">
        <f t="shared" si="13"/>
        <v>17.564894190995744</v>
      </c>
      <c r="S18">
        <f t="shared" si="14"/>
        <v>2.1095437923385887E-4</v>
      </c>
      <c r="T18">
        <f t="shared" si="15"/>
        <v>0.11999680274963531</v>
      </c>
      <c r="U18">
        <f t="shared" si="16"/>
        <v>11.999680274963531</v>
      </c>
      <c r="AF18">
        <f t="shared" si="12"/>
        <v>2.1095437923385887E-4</v>
      </c>
    </row>
    <row r="19" spans="1:44" ht="17" x14ac:dyDescent="0.2">
      <c r="A19">
        <v>23</v>
      </c>
      <c r="B19">
        <v>18</v>
      </c>
      <c r="C19" s="2" t="s">
        <v>37</v>
      </c>
      <c r="D19" s="2">
        <v>1.032</v>
      </c>
      <c r="E19">
        <f t="shared" si="3"/>
        <v>1.0319999999999999E-3</v>
      </c>
      <c r="F19" t="s">
        <v>30</v>
      </c>
      <c r="G19" s="1">
        <v>45961.627812500003</v>
      </c>
      <c r="H19">
        <v>576.39700000000005</v>
      </c>
      <c r="I19">
        <v>163147.79800000001</v>
      </c>
      <c r="J19">
        <v>1831.787</v>
      </c>
      <c r="K19">
        <v>2.0539999999999998</v>
      </c>
      <c r="L19">
        <v>1.246</v>
      </c>
      <c r="M19">
        <v>2.9000000000000001E-2</v>
      </c>
      <c r="N19">
        <v>75</v>
      </c>
      <c r="O19">
        <v>395</v>
      </c>
      <c r="P19">
        <v>497.245</v>
      </c>
      <c r="R19">
        <f t="shared" si="13"/>
        <v>10.311132426113543</v>
      </c>
      <c r="S19">
        <f t="shared" si="14"/>
        <v>1.2383670043762364E-4</v>
      </c>
      <c r="T19">
        <f t="shared" si="15"/>
        <v>0.11999680274963533</v>
      </c>
      <c r="U19">
        <f t="shared" si="16"/>
        <v>11.999680274963533</v>
      </c>
      <c r="AF19">
        <f t="shared" si="12"/>
        <v>1.2383670043762364E-4</v>
      </c>
    </row>
    <row r="20" spans="1:44" x14ac:dyDescent="0.2">
      <c r="A20">
        <v>24</v>
      </c>
      <c r="B20">
        <v>19</v>
      </c>
      <c r="C20" t="s">
        <v>38</v>
      </c>
      <c r="D20">
        <v>1.5369999999999999</v>
      </c>
      <c r="E20">
        <f t="shared" si="3"/>
        <v>1.537E-3</v>
      </c>
      <c r="F20" t="s">
        <v>31</v>
      </c>
      <c r="G20" s="1">
        <v>45961.639745370368</v>
      </c>
      <c r="H20">
        <v>729.81</v>
      </c>
      <c r="I20">
        <v>238305.125</v>
      </c>
      <c r="J20">
        <v>2676.259</v>
      </c>
      <c r="K20">
        <v>2.1019999999999999</v>
      </c>
      <c r="L20">
        <v>9.6809999999999992</v>
      </c>
      <c r="M20">
        <v>0.123</v>
      </c>
      <c r="N20">
        <v>75</v>
      </c>
      <c r="O20">
        <v>471</v>
      </c>
      <c r="P20">
        <v>592.41800000000001</v>
      </c>
      <c r="R20">
        <f t="shared" si="13"/>
        <v>15.356793157884219</v>
      </c>
      <c r="S20">
        <f t="shared" si="14"/>
        <v>1.8443508582618946E-4</v>
      </c>
      <c r="T20">
        <f t="shared" si="15"/>
        <v>0.11999680274963531</v>
      </c>
      <c r="U20">
        <f t="shared" si="16"/>
        <v>11.999680274963531</v>
      </c>
      <c r="AF20">
        <f t="shared" si="12"/>
        <v>1.8443508582618946E-4</v>
      </c>
    </row>
    <row r="21" spans="1:44" x14ac:dyDescent="0.2">
      <c r="A21">
        <v>25</v>
      </c>
      <c r="B21">
        <v>20</v>
      </c>
      <c r="C21" t="s">
        <v>55</v>
      </c>
      <c r="D21">
        <v>2.032</v>
      </c>
      <c r="E21">
        <f t="shared" si="3"/>
        <v>2.032E-3</v>
      </c>
      <c r="F21" t="s">
        <v>32</v>
      </c>
      <c r="G21" s="1">
        <v>45961.651539351849</v>
      </c>
      <c r="H21">
        <v>860.97699999999998</v>
      </c>
      <c r="I21">
        <v>313685.23</v>
      </c>
      <c r="J21">
        <v>3522.68</v>
      </c>
      <c r="K21">
        <v>1.907</v>
      </c>
      <c r="L21">
        <v>23.69</v>
      </c>
      <c r="M21">
        <v>0.27900000000000003</v>
      </c>
      <c r="N21">
        <v>75</v>
      </c>
      <c r="O21">
        <v>540</v>
      </c>
      <c r="P21">
        <v>680.13300000000004</v>
      </c>
      <c r="R21">
        <f t="shared" si="13"/>
        <v>20.302539815758447</v>
      </c>
      <c r="S21">
        <f t="shared" si="14"/>
        <v>2.4383350318725894E-4</v>
      </c>
      <c r="T21">
        <f t="shared" si="15"/>
        <v>0.11999680274963531</v>
      </c>
      <c r="U21">
        <f t="shared" si="16"/>
        <v>11.999680274963531</v>
      </c>
      <c r="AF21">
        <f t="shared" si="12"/>
        <v>2.4383350318725894E-4</v>
      </c>
    </row>
    <row r="22" spans="1:44" x14ac:dyDescent="0.2">
      <c r="A22">
        <v>26</v>
      </c>
      <c r="B22">
        <v>21</v>
      </c>
      <c r="C22" t="s">
        <v>56</v>
      </c>
      <c r="D22">
        <v>2.4790000000000001</v>
      </c>
      <c r="E22">
        <f t="shared" si="3"/>
        <v>2.4790000000000003E-3</v>
      </c>
      <c r="F22" t="s">
        <v>33</v>
      </c>
      <c r="G22" s="1">
        <v>45961.663217592592</v>
      </c>
      <c r="H22">
        <v>897.66</v>
      </c>
      <c r="I22">
        <v>358856.66</v>
      </c>
      <c r="J22">
        <v>4030.0419999999999</v>
      </c>
      <c r="K22">
        <v>2.2469999999999999</v>
      </c>
      <c r="L22">
        <v>50.537999999999997</v>
      </c>
      <c r="M22">
        <v>0.58299999999999996</v>
      </c>
      <c r="N22">
        <v>75</v>
      </c>
      <c r="O22">
        <v>599</v>
      </c>
      <c r="P22">
        <v>754.81899999999996</v>
      </c>
      <c r="R22">
        <f t="shared" si="13"/>
        <v>24.768698918929722</v>
      </c>
      <c r="S22">
        <f t="shared" si="14"/>
        <v>2.9747207401634596E-4</v>
      </c>
      <c r="T22">
        <f t="shared" si="15"/>
        <v>0.11999680274963531</v>
      </c>
      <c r="U22">
        <f t="shared" si="16"/>
        <v>11.999680274963531</v>
      </c>
      <c r="AF22">
        <f t="shared" si="12"/>
        <v>2.9747207401634596E-4</v>
      </c>
    </row>
    <row r="24" spans="1:44" x14ac:dyDescent="0.2">
      <c r="AF24" t="s">
        <v>68</v>
      </c>
      <c r="AG24" t="s">
        <v>69</v>
      </c>
    </row>
    <row r="25" spans="1:44" x14ac:dyDescent="0.2">
      <c r="AF25">
        <v>1.2179675479087982E-4</v>
      </c>
      <c r="AG25">
        <v>157487.44899999999</v>
      </c>
    </row>
    <row r="26" spans="1:44" x14ac:dyDescent="0.2">
      <c r="AF26">
        <v>1.8071518494095079E-4</v>
      </c>
      <c r="AG26">
        <v>217006.05100000001</v>
      </c>
    </row>
    <row r="27" spans="1:44" x14ac:dyDescent="0.2">
      <c r="AF27">
        <v>3.0071198769058611E-4</v>
      </c>
      <c r="AG27">
        <v>386364.25300000003</v>
      </c>
    </row>
    <row r="28" spans="1:44" x14ac:dyDescent="0.2">
      <c r="AF28">
        <v>2.1095437923385887E-4</v>
      </c>
      <c r="AG28">
        <v>267944.51899999997</v>
      </c>
    </row>
    <row r="29" spans="1:44" x14ac:dyDescent="0.2">
      <c r="AF29">
        <v>1.2383670043762364E-4</v>
      </c>
      <c r="AG29">
        <v>163147.79800000001</v>
      </c>
    </row>
    <row r="30" spans="1:44" x14ac:dyDescent="0.2">
      <c r="AF30">
        <v>1.8443508582618946E-4</v>
      </c>
      <c r="AG30">
        <v>238305.125</v>
      </c>
      <c r="AQ30" t="s">
        <v>83</v>
      </c>
      <c r="AR30" t="s">
        <v>84</v>
      </c>
    </row>
    <row r="31" spans="1:44" x14ac:dyDescent="0.2">
      <c r="AF31">
        <v>2.4383350318725894E-4</v>
      </c>
      <c r="AG31">
        <v>313685.23</v>
      </c>
      <c r="AQ31">
        <f>SLOPE(R14:R22,I14:I22)</f>
        <v>2.7109754602727622E-5</v>
      </c>
      <c r="AR31">
        <f>INTERCEPT(R14:R22,I14:I22)</f>
        <v>11.25470623895378</v>
      </c>
    </row>
    <row r="32" spans="1:44" x14ac:dyDescent="0.2">
      <c r="AF32">
        <v>2.9747207401634596E-4</v>
      </c>
      <c r="AG32">
        <v>358856.66</v>
      </c>
    </row>
  </sheetData>
  <sortState xmlns:xlrd2="http://schemas.microsoft.com/office/spreadsheetml/2017/richdata2" ref="A2:P22">
    <sortCondition ref="B2:B2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5A90-85D5-6D46-8E10-808C47424366}">
  <dimension ref="A1:K13"/>
  <sheetViews>
    <sheetView tabSelected="1" workbookViewId="0">
      <selection activeCell="D17" sqref="D17"/>
    </sheetView>
  </sheetViews>
  <sheetFormatPr baseColWidth="10" defaultRowHeight="16" x14ac:dyDescent="0.2"/>
  <sheetData>
    <row r="1" spans="1:11" x14ac:dyDescent="0.2">
      <c r="A1" t="s">
        <v>89</v>
      </c>
      <c r="B1" t="s">
        <v>90</v>
      </c>
      <c r="C1" t="s">
        <v>91</v>
      </c>
      <c r="D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">
      <c r="A2" t="s">
        <v>42</v>
      </c>
      <c r="B2">
        <f>AVERAGE(F2,G2)</f>
        <v>2.0975000000000001</v>
      </c>
      <c r="C2">
        <f>AVERAGE(H2,I2)</f>
        <v>3.8083085045587106</v>
      </c>
      <c r="D2">
        <f>AVERAGE(J2,K2)</f>
        <v>1.2967909481329358</v>
      </c>
      <c r="F2">
        <v>1.9890000000000001</v>
      </c>
      <c r="G2" s="10">
        <v>2.206</v>
      </c>
      <c r="H2">
        <v>3.6543351325627449</v>
      </c>
      <c r="I2">
        <v>3.9622818765546763</v>
      </c>
      <c r="J2">
        <v>1.1427912283754837</v>
      </c>
      <c r="K2">
        <v>1.4507906678903879</v>
      </c>
    </row>
    <row r="3" spans="1:11" x14ac:dyDescent="0.2">
      <c r="A3" t="s">
        <v>43</v>
      </c>
      <c r="B3">
        <f t="shared" ref="B3:B13" si="0">AVERAGE(F3,G3)</f>
        <v>6.1020000000000003</v>
      </c>
      <c r="C3">
        <f t="shared" ref="C3:C13" si="1">AVERAGE(H3,I3)</f>
        <v>6.635444683994379</v>
      </c>
      <c r="D3">
        <f t="shared" ref="D3:D13" si="2">AVERAGE(J3,K3)</f>
        <v>0.3485703056675975</v>
      </c>
      <c r="F3">
        <v>6.1459999999999999</v>
      </c>
      <c r="G3" s="10">
        <v>6.0579999999999998</v>
      </c>
      <c r="H3">
        <v>6.4713268372852966</v>
      </c>
      <c r="I3">
        <v>6.7995625307034606</v>
      </c>
      <c r="J3">
        <v>0.18438650478423924</v>
      </c>
      <c r="K3">
        <v>0.51275410655095577</v>
      </c>
    </row>
    <row r="4" spans="1:11" x14ac:dyDescent="0.2">
      <c r="A4" t="s">
        <v>44</v>
      </c>
      <c r="B4">
        <f t="shared" si="0"/>
        <v>5.8185000000000002</v>
      </c>
      <c r="C4">
        <f t="shared" si="1"/>
        <v>10.033000577102252</v>
      </c>
      <c r="D4">
        <f t="shared" si="2"/>
        <v>1.0000000000000001E-17</v>
      </c>
      <c r="F4">
        <v>5.3339999999999996</v>
      </c>
      <c r="G4" s="10">
        <v>6.3029999999999999</v>
      </c>
      <c r="H4">
        <v>9.8984226668360353</v>
      </c>
      <c r="I4">
        <v>10.167578487368468</v>
      </c>
      <c r="J4">
        <f>1*10^-17</f>
        <v>1.0000000000000001E-17</v>
      </c>
      <c r="K4" s="8">
        <v>1.0000000000000001E-17</v>
      </c>
    </row>
    <row r="5" spans="1:11" x14ac:dyDescent="0.2">
      <c r="A5" t="s">
        <v>45</v>
      </c>
      <c r="B5">
        <f t="shared" si="0"/>
        <v>6.6345000000000001</v>
      </c>
      <c r="C5">
        <f t="shared" si="1"/>
        <v>9.5983415634052314</v>
      </c>
      <c r="D5">
        <f t="shared" si="2"/>
        <v>1.0000000000000001E-17</v>
      </c>
      <c r="F5">
        <v>6.7039999999999997</v>
      </c>
      <c r="G5" s="10">
        <v>6.5650000000000004</v>
      </c>
      <c r="H5">
        <v>9.4030859184394266</v>
      </c>
      <c r="I5">
        <v>9.7935972083710343</v>
      </c>
      <c r="J5">
        <f t="shared" ref="J5:J7" si="3">1*10^-17</f>
        <v>1.0000000000000001E-17</v>
      </c>
      <c r="K5" s="8">
        <v>1.0000000000000001E-17</v>
      </c>
    </row>
    <row r="6" spans="1:11" x14ac:dyDescent="0.2">
      <c r="A6" t="s">
        <v>46</v>
      </c>
      <c r="B6">
        <f t="shared" si="0"/>
        <v>6.5884999999999998</v>
      </c>
      <c r="C6">
        <f t="shared" si="1"/>
        <v>9.0792693019648212</v>
      </c>
      <c r="D6">
        <f t="shared" si="2"/>
        <v>1.0000000000000001E-17</v>
      </c>
      <c r="F6">
        <v>6.6260000000000003</v>
      </c>
      <c r="G6" s="10">
        <v>6.5510000000000002</v>
      </c>
      <c r="H6">
        <v>8.7540775672216267</v>
      </c>
      <c r="I6">
        <v>9.4044610367080139</v>
      </c>
      <c r="J6">
        <f t="shared" si="3"/>
        <v>1.0000000000000001E-17</v>
      </c>
      <c r="K6" s="8">
        <v>1.0000000000000001E-17</v>
      </c>
    </row>
    <row r="7" spans="1:11" x14ac:dyDescent="0.2">
      <c r="A7" t="s">
        <v>47</v>
      </c>
      <c r="B7">
        <f t="shared" si="0"/>
        <v>5.8209999999999997</v>
      </c>
      <c r="C7">
        <f t="shared" si="1"/>
        <v>7.8513114614114583</v>
      </c>
      <c r="D7">
        <f t="shared" si="2"/>
        <v>0.17845741184996688</v>
      </c>
      <c r="F7">
        <v>5.9459999999999997</v>
      </c>
      <c r="G7" s="10">
        <v>5.6959999999999997</v>
      </c>
      <c r="H7">
        <v>7.5008877288025673</v>
      </c>
      <c r="I7">
        <v>8.2017351940203493</v>
      </c>
      <c r="J7">
        <f t="shared" si="3"/>
        <v>1.0000000000000001E-17</v>
      </c>
      <c r="K7">
        <v>0.35691482369993377</v>
      </c>
    </row>
    <row r="8" spans="1:11" x14ac:dyDescent="0.2">
      <c r="A8" t="s">
        <v>49</v>
      </c>
      <c r="B8">
        <f t="shared" si="0"/>
        <v>0.89250000000000007</v>
      </c>
      <c r="C8">
        <f t="shared" si="1"/>
        <v>1.2122627242485546</v>
      </c>
      <c r="D8">
        <f t="shared" si="2"/>
        <v>0.64610108061876259</v>
      </c>
      <c r="F8">
        <v>0.90200000000000002</v>
      </c>
      <c r="G8" s="10">
        <v>0.88300000000000001</v>
      </c>
      <c r="H8">
        <v>1.1654308007252363</v>
      </c>
      <c r="I8">
        <v>1.259094647771873</v>
      </c>
      <c r="J8">
        <v>0.59926321762195311</v>
      </c>
      <c r="K8">
        <v>0.69293894361557207</v>
      </c>
    </row>
    <row r="9" spans="1:11" x14ac:dyDescent="0.2">
      <c r="A9" t="s">
        <v>50</v>
      </c>
      <c r="B9">
        <f t="shared" si="0"/>
        <v>3.6725000000000003</v>
      </c>
      <c r="C9">
        <f t="shared" si="1"/>
        <v>5.4376965142632923</v>
      </c>
      <c r="D9">
        <f t="shared" si="2"/>
        <v>2.1445529047750864</v>
      </c>
      <c r="F9">
        <v>3.6850000000000001</v>
      </c>
      <c r="G9" s="10">
        <v>3.66</v>
      </c>
      <c r="H9">
        <v>5.2364766812792434</v>
      </c>
      <c r="I9">
        <v>5.6389163472473403</v>
      </c>
      <c r="J9">
        <v>1.9432985241677732</v>
      </c>
      <c r="K9">
        <v>2.3458072853823997</v>
      </c>
    </row>
    <row r="10" spans="1:11" x14ac:dyDescent="0.2">
      <c r="A10" t="s">
        <v>51</v>
      </c>
      <c r="B10">
        <f t="shared" si="0"/>
        <v>1.0899999999999999</v>
      </c>
      <c r="C10">
        <f t="shared" si="1"/>
        <v>3.7631340004928493</v>
      </c>
      <c r="D10">
        <f t="shared" si="2"/>
        <v>1.678156184592267</v>
      </c>
      <c r="F10">
        <v>1.069</v>
      </c>
      <c r="G10" s="10">
        <v>1.111</v>
      </c>
      <c r="H10">
        <v>3.6021395383751167</v>
      </c>
      <c r="I10">
        <v>3.9241284626105815</v>
      </c>
      <c r="J10">
        <v>1.5171398494447974</v>
      </c>
      <c r="K10">
        <v>1.8391725197397366</v>
      </c>
    </row>
    <row r="11" spans="1:11" x14ac:dyDescent="0.2">
      <c r="A11" t="s">
        <v>52</v>
      </c>
      <c r="B11">
        <f t="shared" si="0"/>
        <v>-7.5510000000000002</v>
      </c>
      <c r="C11">
        <f t="shared" si="1"/>
        <v>4.7561025137109141</v>
      </c>
      <c r="D11">
        <f t="shared" si="2"/>
        <v>3.9853623045050117</v>
      </c>
      <c r="F11">
        <v>-11.618</v>
      </c>
      <c r="G11" s="10">
        <v>-3.484</v>
      </c>
      <c r="H11">
        <v>7.1788947733278903</v>
      </c>
      <c r="I11">
        <v>2.3333102540939388</v>
      </c>
      <c r="J11">
        <v>6.4081464784611297</v>
      </c>
      <c r="K11">
        <v>1.5625781305488937</v>
      </c>
    </row>
    <row r="12" spans="1:11" x14ac:dyDescent="0.2">
      <c r="A12" t="s">
        <v>53</v>
      </c>
      <c r="B12">
        <f t="shared" si="0"/>
        <v>-12.596499999999999</v>
      </c>
      <c r="C12">
        <f t="shared" si="1"/>
        <v>2.4513156157032521</v>
      </c>
      <c r="D12">
        <f t="shared" si="2"/>
        <v>2.3230935551453884</v>
      </c>
      <c r="F12">
        <v>-11.994999999999999</v>
      </c>
      <c r="G12" s="10">
        <v>-13.198</v>
      </c>
      <c r="H12">
        <v>2.3988975587629016</v>
      </c>
      <c r="I12">
        <v>2.5037336726436021</v>
      </c>
      <c r="J12">
        <v>2.2706741530564605</v>
      </c>
      <c r="K12">
        <v>2.3755129572343163</v>
      </c>
    </row>
    <row r="13" spans="1:11" x14ac:dyDescent="0.2">
      <c r="A13" t="s">
        <v>54</v>
      </c>
      <c r="B13">
        <f t="shared" si="0"/>
        <v>-4.3525</v>
      </c>
      <c r="C13">
        <f t="shared" si="1"/>
        <v>1.425503536771469</v>
      </c>
      <c r="D13">
        <f t="shared" si="2"/>
        <v>1.0018278037350055</v>
      </c>
      <c r="F13">
        <v>-5.266</v>
      </c>
      <c r="G13" s="10">
        <v>-3.4390000000000001</v>
      </c>
      <c r="H13">
        <v>1.4985187261924044</v>
      </c>
      <c r="I13">
        <v>1.3524883473505338</v>
      </c>
      <c r="J13">
        <v>1.0748385484698453</v>
      </c>
      <c r="K13">
        <v>0.92881705900016565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CFGDS2436_IsotopicData_20251031</vt:lpstr>
      <vt:lpstr>CM workup batch2</vt:lpstr>
      <vt:lpstr>complied batch 1 and 2 CM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cshepp</cp:lastModifiedBy>
  <dcterms:created xsi:type="dcterms:W3CDTF">2025-11-03T19:11:47Z</dcterms:created>
  <dcterms:modified xsi:type="dcterms:W3CDTF">2025-11-19T20:30:37Z</dcterms:modified>
</cp:coreProperties>
</file>