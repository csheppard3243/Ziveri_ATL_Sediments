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iresheppard/Downloads/"/>
    </mc:Choice>
  </mc:AlternateContent>
  <xr:revisionPtr revIDLastSave="0" documentId="13_ncr:1_{690334A2-3409-8F41-A03A-AD8271A13F90}" xr6:coauthVersionLast="47" xr6:coauthVersionMax="47" xr10:uidLastSave="{00000000-0000-0000-0000-000000000000}"/>
  <bookViews>
    <workbookView xWindow="360" yWindow="2300" windowWidth="25740" windowHeight="15240" activeTab="1" xr2:uid="{F16BAA66-A901-CB45-8374-8347AC7A4A52}"/>
  </bookViews>
  <sheets>
    <sheet name="CFGDS2436_IsotopicData_20251001" sheetId="2" r:id="rId1"/>
    <sheet name="CM workup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" i="1" l="1"/>
  <c r="W2" i="1"/>
  <c r="V2" i="1"/>
  <c r="AA26" i="1"/>
  <c r="Z26" i="1"/>
  <c r="AE16" i="1"/>
  <c r="U2" i="1"/>
  <c r="AO4" i="1" l="1"/>
  <c r="AN4" i="1"/>
  <c r="AI2" i="1" l="1"/>
  <c r="AK2" i="1" s="1"/>
  <c r="AH2" i="1"/>
  <c r="AF2" i="1"/>
  <c r="T2" i="1"/>
  <c r="E2" i="1"/>
  <c r="E21" i="1"/>
  <c r="E20" i="1"/>
  <c r="E19" i="1"/>
  <c r="E18" i="1"/>
  <c r="E17" i="1"/>
  <c r="E16" i="1"/>
  <c r="E15" i="1"/>
  <c r="E14" i="1"/>
  <c r="T13" i="1"/>
  <c r="E13" i="1"/>
  <c r="T12" i="1"/>
  <c r="E12" i="1"/>
  <c r="T11" i="1"/>
  <c r="E11" i="1"/>
  <c r="T10" i="1"/>
  <c r="E10" i="1"/>
  <c r="T9" i="1"/>
  <c r="E9" i="1"/>
  <c r="T8" i="1"/>
  <c r="E8" i="1"/>
  <c r="T7" i="1"/>
  <c r="E7" i="1"/>
  <c r="T6" i="1"/>
  <c r="E6" i="1"/>
  <c r="T5" i="1"/>
  <c r="E5" i="1"/>
  <c r="T4" i="1"/>
  <c r="U4" i="1" s="1"/>
  <c r="E4" i="1"/>
  <c r="T3" i="1"/>
  <c r="E3" i="1"/>
  <c r="AJ2" i="1"/>
  <c r="AE17" i="1"/>
  <c r="AE15" i="1" l="1"/>
  <c r="U12" i="1"/>
  <c r="AA2" i="1"/>
  <c r="U5" i="1"/>
  <c r="U10" i="1"/>
  <c r="U13" i="1"/>
  <c r="U9" i="1"/>
  <c r="AE18" i="1"/>
  <c r="U3" i="1"/>
  <c r="U7" i="1"/>
  <c r="U6" i="1"/>
  <c r="U11" i="1"/>
  <c r="AE20" i="1"/>
  <c r="U8" i="1"/>
  <c r="AE21" i="1"/>
  <c r="AB2" i="1"/>
  <c r="AB26" i="1" l="1"/>
  <c r="V3" i="1" l="1"/>
  <c r="W3" i="1" s="1"/>
  <c r="X3" i="1" s="1"/>
  <c r="V13" i="1"/>
  <c r="W13" i="1" s="1"/>
  <c r="X13" i="1" s="1"/>
  <c r="V8" i="1"/>
  <c r="W8" i="1" s="1"/>
  <c r="X8" i="1" s="1"/>
  <c r="V12" i="1"/>
  <c r="W12" i="1" s="1"/>
  <c r="X12" i="1" s="1"/>
  <c r="V4" i="1"/>
  <c r="W4" i="1" s="1"/>
  <c r="X4" i="1" s="1"/>
  <c r="X2" i="1"/>
  <c r="V9" i="1"/>
  <c r="W9" i="1" s="1"/>
  <c r="X9" i="1" s="1"/>
  <c r="V11" i="1"/>
  <c r="W11" i="1" s="1"/>
  <c r="X11" i="1" s="1"/>
  <c r="V5" i="1"/>
  <c r="W5" i="1" s="1"/>
  <c r="X5" i="1" s="1"/>
  <c r="V7" i="1"/>
  <c r="W7" i="1" s="1"/>
  <c r="X7" i="1" s="1"/>
  <c r="V10" i="1"/>
  <c r="W10" i="1" s="1"/>
  <c r="X10" i="1" s="1"/>
  <c r="V6" i="1"/>
  <c r="W6" i="1" s="1"/>
  <c r="X6" i="1" s="1"/>
</calcChain>
</file>

<file path=xl/sharedStrings.xml><?xml version="1.0" encoding="utf-8"?>
<sst xmlns="http://schemas.openxmlformats.org/spreadsheetml/2006/main" count="139" uniqueCount="86">
  <si>
    <t xml:space="preserve"> Sample Id</t>
  </si>
  <si>
    <t>DESCRIP</t>
  </si>
  <si>
    <t>Sample descrip</t>
  </si>
  <si>
    <t>sample mass (mg)</t>
  </si>
  <si>
    <t>sample mass (g)</t>
  </si>
  <si>
    <t xml:space="preserve">               Start Time</t>
  </si>
  <si>
    <t xml:space="preserve">  End Time</t>
  </si>
  <si>
    <t xml:space="preserve">     Max 12CO2 (ppm)</t>
  </si>
  <si>
    <t xml:space="preserve">      12CO2 Integral</t>
  </si>
  <si>
    <t xml:space="preserve">      13CO2 Integral</t>
  </si>
  <si>
    <t xml:space="preserve">          Delta CRDS</t>
  </si>
  <si>
    <t xml:space="preserve">      12CO2 Baseline</t>
  </si>
  <si>
    <t xml:space="preserve">      13CO2 Baseline</t>
  </si>
  <si>
    <t xml:space="preserve">           Threshold</t>
  </si>
  <si>
    <t>Number of data points</t>
  </si>
  <si>
    <t>Time interval (seconds)</t>
  </si>
  <si>
    <t>%IC</t>
  </si>
  <si>
    <t>fraction of IC in a sample</t>
  </si>
  <si>
    <t>g IC in samples</t>
  </si>
  <si>
    <t>g TC in sample</t>
  </si>
  <si>
    <t>fraction of TC in sample</t>
  </si>
  <si>
    <t>%TC</t>
  </si>
  <si>
    <t>TOC g / sample (g)</t>
  </si>
  <si>
    <t>% TOC</t>
  </si>
  <si>
    <t>slope of standards</t>
  </si>
  <si>
    <t>intercept of standards</t>
  </si>
  <si>
    <t>STD TC%</t>
  </si>
  <si>
    <t>fraction of TC</t>
  </si>
  <si>
    <t>STD Fraction TC</t>
  </si>
  <si>
    <t>R^2 std curve</t>
  </si>
  <si>
    <t>Average d13C of standards</t>
  </si>
  <si>
    <t>2s stdev std d13C</t>
  </si>
  <si>
    <t>count stds</t>
  </si>
  <si>
    <t>2s std err stds</t>
  </si>
  <si>
    <t>Value</t>
  </si>
  <si>
    <t>SD</t>
  </si>
  <si>
    <t>ST1</t>
  </si>
  <si>
    <t xml:space="preserve">      2025/10/01 11:51:50</t>
  </si>
  <si>
    <t>Marine Sediment</t>
  </si>
  <si>
    <t>ST3</t>
  </si>
  <si>
    <t xml:space="preserve">      2025/10/01 12:07:29</t>
  </si>
  <si>
    <t>ST4</t>
  </si>
  <si>
    <t xml:space="preserve">      2025/10/01 12:23:05</t>
  </si>
  <si>
    <t>Offset from true</t>
  </si>
  <si>
    <t>ST6</t>
  </si>
  <si>
    <t xml:space="preserve">      2025/10/01 12:38:30</t>
  </si>
  <si>
    <t>ST8</t>
  </si>
  <si>
    <t xml:space="preserve">      2025/10/01 12:54:04</t>
  </si>
  <si>
    <t xml:space="preserve">  ST9</t>
  </si>
  <si>
    <t xml:space="preserve">      2025/10/01 13:09:29</t>
  </si>
  <si>
    <t>ST10</t>
  </si>
  <si>
    <t xml:space="preserve">      2025/10/01 14:11:39</t>
  </si>
  <si>
    <t xml:space="preserve"> ST11</t>
  </si>
  <si>
    <t xml:space="preserve">      2025/10/01 14:27:00</t>
  </si>
  <si>
    <t>ST12</t>
  </si>
  <si>
    <t xml:space="preserve">      2025/10/01 14:42:27</t>
  </si>
  <si>
    <t>ST16</t>
  </si>
  <si>
    <t xml:space="preserve">      2025/10/01 14:58:19</t>
  </si>
  <si>
    <t>ST16.2</t>
  </si>
  <si>
    <t xml:space="preserve">      2025/10/01 15:19:50</t>
  </si>
  <si>
    <t>ST18</t>
  </si>
  <si>
    <t xml:space="preserve">      2025/10/01 15:37:42</t>
  </si>
  <si>
    <t xml:space="preserve"> MARINESEDSTD1</t>
  </si>
  <si>
    <t xml:space="preserve">      2025/10/01 10:35:50</t>
  </si>
  <si>
    <t>MARINESEDSTD2</t>
  </si>
  <si>
    <t xml:space="preserve">      2025/10/01 10:50:02</t>
  </si>
  <si>
    <t xml:space="preserve"> MARINESEDSTD3</t>
  </si>
  <si>
    <t xml:space="preserve">      2025/10/01 11:05:22</t>
  </si>
  <si>
    <t>MARINESEDSTD4</t>
  </si>
  <si>
    <t xml:space="preserve">      2025/10/01 11:20:50</t>
  </si>
  <si>
    <t>MARINESEDSTD5</t>
  </si>
  <si>
    <t xml:space="preserve">      2025/10/01 13:40:38</t>
  </si>
  <si>
    <t>MARINESEDSTD6</t>
  </si>
  <si>
    <t xml:space="preserve">      2025/10/01 16:09:53</t>
  </si>
  <si>
    <t>MARINESEDSTD7</t>
  </si>
  <si>
    <t xml:space="preserve">      2025/10/01 16:24:38</t>
  </si>
  <si>
    <t>MARINESEDSTD8</t>
  </si>
  <si>
    <t xml:space="preserve">      2025/10/01 16:39:59</t>
  </si>
  <si>
    <t xml:space="preserve">std: </t>
  </si>
  <si>
    <t>slope</t>
  </si>
  <si>
    <t>intercept</t>
  </si>
  <si>
    <t>rsq</t>
  </si>
  <si>
    <t xml:space="preserve">run date: </t>
  </si>
  <si>
    <t>Peak Number</t>
  </si>
  <si>
    <t xml:space="preserve">                             Description</t>
  </si>
  <si>
    <t>TC in STD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</si>
</sst>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E+00"/>
  </numFmts>
  <fonts count="8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rgb="FF000000"/>
      <name val="Aptos Narrow"/>
      <scheme val="minor"/>
    </font>
    <font>
      <b/>
      <sz val="10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rgb="FF000000"/>
      <name val="Arial"/>
      <family val="2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0" applyFont="1"/>
    <xf numFmtId="0" fontId="5" fillId="0" borderId="0" xfId="0" applyFont="1"/>
    <xf numFmtId="22" fontId="0" fillId="0" borderId="0" xfId="0" applyNumberFormat="1"/>
    <xf numFmtId="0" fontId="6" fillId="0" borderId="0" xfId="0" applyFont="1"/>
    <xf numFmtId="164" fontId="0" fillId="0" borderId="0" xfId="0" applyNumberFormat="1"/>
    <xf numFmtId="0" fontId="7" fillId="0" borderId="0" xfId="0" applyFont="1"/>
    <xf numFmtId="0" fontId="1" fillId="0" borderId="0" xfId="0" applyFon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Mass of TC in STD (g) vs 12 CO2 Integral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'CM workup'!$I$15:$I$21</c:f>
              <c:numCache>
                <c:formatCode>General</c:formatCode>
                <c:ptCount val="7"/>
                <c:pt idx="0">
                  <c:v>122617.224</c:v>
                </c:pt>
                <c:pt idx="1">
                  <c:v>260475.49799999999</c:v>
                </c:pt>
                <c:pt idx="2">
                  <c:v>383016.40399999998</c:v>
                </c:pt>
                <c:pt idx="3">
                  <c:v>191934.946</c:v>
                </c:pt>
                <c:pt idx="4">
                  <c:v>10275</c:v>
                </c:pt>
                <c:pt idx="5">
                  <c:v>137258.35399999999</c:v>
                </c:pt>
                <c:pt idx="6">
                  <c:v>268904.57400000002</c:v>
                </c:pt>
              </c:numCache>
            </c:numRef>
          </c:xVal>
          <c:yVal>
            <c:numRef>
              <c:f>'CM workup'!$AE$15:$AE$21</c:f>
              <c:numCache>
                <c:formatCode>General</c:formatCode>
                <c:ptCount val="7"/>
                <c:pt idx="0">
                  <c:v>9.8055623825438797E-5</c:v>
                </c:pt>
                <c:pt idx="1">
                  <c:v>1.9043258501372768E-4</c:v>
                </c:pt>
                <c:pt idx="2">
                  <c:v>2.8120008566849276E-4</c:v>
                </c:pt>
                <c:pt idx="3">
                  <c:v>1.3722928586780984E-4</c:v>
                </c:pt>
                <c:pt idx="5">
                  <c:v>9.9513248459573534E-5</c:v>
                </c:pt>
                <c:pt idx="6">
                  <c:v>1.909488270716504E-4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77-5C45-A617-23258BC6B2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0121824"/>
        <c:axId val="1020144352"/>
      </c:scatterChart>
      <c:valAx>
        <c:axId val="1020121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</a:t>
                </a:r>
                <a:r>
                  <a:rPr lang="en-US" baseline="0"/>
                  <a:t> CO2 Integral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144352"/>
        <c:crosses val="autoZero"/>
        <c:crossBetween val="midCat"/>
      </c:valAx>
      <c:valAx>
        <c:axId val="102014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TC in STD</a:t>
                </a:r>
                <a:r>
                  <a:rPr lang="en-US" baseline="0"/>
                  <a:t> mass (g)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121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717550</xdr:colOff>
      <xdr:row>27</xdr:row>
      <xdr:rowOff>25400</xdr:rowOff>
    </xdr:from>
    <xdr:to>
      <xdr:col>24</xdr:col>
      <xdr:colOff>336550</xdr:colOff>
      <xdr:row>40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1542F0-2021-A54D-9AE5-5CCD16EB40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0D659-27B9-1447-9F33-9D7EBEEAD97D}">
  <dimension ref="A1:N21"/>
  <sheetViews>
    <sheetView topLeftCell="G1" workbookViewId="0">
      <selection activeCell="F29" sqref="F29"/>
    </sheetView>
  </sheetViews>
  <sheetFormatPr baseColWidth="10" defaultRowHeight="16" x14ac:dyDescent="0.2"/>
  <sheetData>
    <row r="1" spans="1:14" x14ac:dyDescent="0.2">
      <c r="A1" t="s">
        <v>0</v>
      </c>
      <c r="B1" t="s">
        <v>83</v>
      </c>
      <c r="C1" t="s">
        <v>84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</row>
    <row r="2" spans="1:14" x14ac:dyDescent="0.2">
      <c r="A2">
        <v>2</v>
      </c>
      <c r="B2">
        <v>1</v>
      </c>
      <c r="C2" t="s">
        <v>62</v>
      </c>
      <c r="D2" t="s">
        <v>63</v>
      </c>
      <c r="E2" s="5">
        <v>45931.442870370367</v>
      </c>
      <c r="F2">
        <v>57.564999999999998</v>
      </c>
      <c r="G2">
        <v>6251.7039999999997</v>
      </c>
      <c r="H2">
        <v>69.003</v>
      </c>
      <c r="I2">
        <v>-18.960999999999999</v>
      </c>
      <c r="J2">
        <v>0.92300000000000004</v>
      </c>
      <c r="K2">
        <v>2.1999999999999999E-2</v>
      </c>
      <c r="L2">
        <v>50</v>
      </c>
      <c r="M2">
        <v>91</v>
      </c>
      <c r="N2">
        <v>114.68</v>
      </c>
    </row>
    <row r="3" spans="1:14" x14ac:dyDescent="0.2">
      <c r="A3">
        <v>3</v>
      </c>
      <c r="B3">
        <v>1</v>
      </c>
      <c r="C3" t="s">
        <v>64</v>
      </c>
      <c r="D3" t="s">
        <v>65</v>
      </c>
      <c r="E3" s="5">
        <v>45931.456990740742</v>
      </c>
      <c r="F3">
        <v>471.65499999999997</v>
      </c>
      <c r="G3">
        <v>122617.224</v>
      </c>
      <c r="H3">
        <v>1352.7909999999999</v>
      </c>
      <c r="I3">
        <v>-15.811</v>
      </c>
      <c r="J3">
        <v>0.93500000000000005</v>
      </c>
      <c r="K3">
        <v>2.3E-2</v>
      </c>
      <c r="L3">
        <v>50</v>
      </c>
      <c r="M3">
        <v>380</v>
      </c>
      <c r="N3">
        <v>481.971</v>
      </c>
    </row>
    <row r="4" spans="1:14" x14ac:dyDescent="0.2">
      <c r="A4">
        <v>4</v>
      </c>
      <c r="B4">
        <v>1</v>
      </c>
      <c r="C4" t="s">
        <v>66</v>
      </c>
      <c r="D4" t="s">
        <v>67</v>
      </c>
      <c r="E4" s="5">
        <v>45931.468715277777</v>
      </c>
      <c r="F4">
        <v>975.00099999999998</v>
      </c>
      <c r="G4">
        <v>260475.49799999999</v>
      </c>
      <c r="H4">
        <v>2873.9859999999999</v>
      </c>
      <c r="I4">
        <v>-15.618</v>
      </c>
      <c r="J4">
        <v>4.7510000000000003</v>
      </c>
      <c r="K4">
        <v>6.5000000000000002E-2</v>
      </c>
      <c r="L4">
        <v>50</v>
      </c>
      <c r="M4">
        <v>453</v>
      </c>
      <c r="N4">
        <v>575.154</v>
      </c>
    </row>
    <row r="5" spans="1:14" x14ac:dyDescent="0.2">
      <c r="A5">
        <v>5</v>
      </c>
      <c r="B5">
        <v>1</v>
      </c>
      <c r="C5" t="s">
        <v>68</v>
      </c>
      <c r="D5" t="s">
        <v>69</v>
      </c>
      <c r="E5" s="5">
        <v>45931.480069444442</v>
      </c>
      <c r="F5">
        <v>1409.731</v>
      </c>
      <c r="G5">
        <v>383016.40399999998</v>
      </c>
      <c r="H5">
        <v>4225.7849999999999</v>
      </c>
      <c r="I5">
        <v>-15.558999999999999</v>
      </c>
      <c r="J5">
        <v>9.4770000000000003</v>
      </c>
      <c r="K5">
        <v>0.11700000000000001</v>
      </c>
      <c r="L5">
        <v>50</v>
      </c>
      <c r="M5">
        <v>494</v>
      </c>
      <c r="N5">
        <v>627.44600000000003</v>
      </c>
    </row>
    <row r="6" spans="1:14" x14ac:dyDescent="0.2">
      <c r="A6">
        <v>7</v>
      </c>
      <c r="B6">
        <v>1</v>
      </c>
      <c r="C6" t="s">
        <v>36</v>
      </c>
      <c r="D6" t="s">
        <v>37</v>
      </c>
      <c r="E6" s="5">
        <v>45931.501747685186</v>
      </c>
      <c r="F6">
        <v>1617.855</v>
      </c>
      <c r="G6">
        <v>443724.95600000001</v>
      </c>
      <c r="H6">
        <v>4983.509</v>
      </c>
      <c r="I6">
        <v>1.9890000000000001</v>
      </c>
      <c r="J6">
        <v>1.085</v>
      </c>
      <c r="K6">
        <v>2.5000000000000001E-2</v>
      </c>
      <c r="L6">
        <v>50</v>
      </c>
      <c r="M6">
        <v>506</v>
      </c>
      <c r="N6">
        <v>641.678</v>
      </c>
    </row>
    <row r="7" spans="1:14" x14ac:dyDescent="0.2">
      <c r="A7">
        <v>8</v>
      </c>
      <c r="B7">
        <v>1</v>
      </c>
      <c r="C7" t="s">
        <v>39</v>
      </c>
      <c r="D7" t="s">
        <v>40</v>
      </c>
      <c r="E7" s="5">
        <v>45931.512314814812</v>
      </c>
      <c r="F7">
        <v>1268.231</v>
      </c>
      <c r="G7">
        <v>340295.49300000002</v>
      </c>
      <c r="H7">
        <v>3838.94</v>
      </c>
      <c r="I7">
        <v>6.1459999999999999</v>
      </c>
      <c r="J7">
        <v>15.784000000000001</v>
      </c>
      <c r="K7">
        <v>0.189</v>
      </c>
      <c r="L7">
        <v>50</v>
      </c>
      <c r="M7">
        <v>485</v>
      </c>
      <c r="N7">
        <v>615.20600000000002</v>
      </c>
    </row>
    <row r="8" spans="1:14" x14ac:dyDescent="0.2">
      <c r="A8">
        <v>9</v>
      </c>
      <c r="B8">
        <v>1</v>
      </c>
      <c r="C8" t="s">
        <v>41</v>
      </c>
      <c r="D8" t="s">
        <v>42</v>
      </c>
      <c r="E8" s="5">
        <v>45931.522905092592</v>
      </c>
      <c r="F8">
        <v>1051.3789999999999</v>
      </c>
      <c r="G8">
        <v>281561.50900000002</v>
      </c>
      <c r="H8">
        <v>3173.57</v>
      </c>
      <c r="I8">
        <v>5.3339999999999996</v>
      </c>
      <c r="J8">
        <v>13.657</v>
      </c>
      <c r="K8">
        <v>0.16600000000000001</v>
      </c>
      <c r="L8">
        <v>50</v>
      </c>
      <c r="M8">
        <v>470</v>
      </c>
      <c r="N8">
        <v>594.56299999999999</v>
      </c>
    </row>
    <row r="9" spans="1:14" x14ac:dyDescent="0.2">
      <c r="A9">
        <v>10</v>
      </c>
      <c r="B9">
        <v>1</v>
      </c>
      <c r="C9" t="s">
        <v>44</v>
      </c>
      <c r="D9" t="s">
        <v>45</v>
      </c>
      <c r="E9" s="5">
        <v>45931.533587962964</v>
      </c>
      <c r="F9">
        <v>1081.104</v>
      </c>
      <c r="G9">
        <v>288384.29100000003</v>
      </c>
      <c r="H9">
        <v>3254.4189999999999</v>
      </c>
      <c r="I9">
        <v>6.7039999999999997</v>
      </c>
      <c r="J9">
        <v>11.488</v>
      </c>
      <c r="K9">
        <v>0.14199999999999999</v>
      </c>
      <c r="L9">
        <v>50</v>
      </c>
      <c r="M9">
        <v>467</v>
      </c>
      <c r="N9">
        <v>591.76800000000003</v>
      </c>
    </row>
    <row r="10" spans="1:14" x14ac:dyDescent="0.2">
      <c r="A10">
        <v>11</v>
      </c>
      <c r="B10">
        <v>1</v>
      </c>
      <c r="C10" t="s">
        <v>46</v>
      </c>
      <c r="D10" t="s">
        <v>47</v>
      </c>
      <c r="E10" s="5">
        <v>45931.544432870367</v>
      </c>
      <c r="F10">
        <v>1110.3599999999999</v>
      </c>
      <c r="G10">
        <v>297137.304</v>
      </c>
      <c r="H10">
        <v>3352.4189999999999</v>
      </c>
      <c r="I10">
        <v>6.6260000000000003</v>
      </c>
      <c r="J10">
        <v>10.978</v>
      </c>
      <c r="K10">
        <v>0.13800000000000001</v>
      </c>
      <c r="L10">
        <v>50</v>
      </c>
      <c r="M10">
        <v>470</v>
      </c>
      <c r="N10">
        <v>594.798</v>
      </c>
    </row>
    <row r="11" spans="1:14" x14ac:dyDescent="0.2">
      <c r="A11">
        <v>12</v>
      </c>
      <c r="B11">
        <v>1</v>
      </c>
      <c r="C11" t="s">
        <v>48</v>
      </c>
      <c r="D11" t="s">
        <v>49</v>
      </c>
      <c r="E11" s="5">
        <v>45931.555289351854</v>
      </c>
      <c r="F11">
        <v>1230.1130000000001</v>
      </c>
      <c r="G11">
        <v>330220.2</v>
      </c>
      <c r="H11">
        <v>3723.5410000000002</v>
      </c>
      <c r="I11">
        <v>5.9459999999999997</v>
      </c>
      <c r="J11">
        <v>11.208</v>
      </c>
      <c r="K11">
        <v>0.13900000000000001</v>
      </c>
      <c r="L11">
        <v>50</v>
      </c>
      <c r="M11">
        <v>479</v>
      </c>
      <c r="N11">
        <v>607.31399999999996</v>
      </c>
    </row>
    <row r="12" spans="1:14" x14ac:dyDescent="0.2">
      <c r="A12">
        <v>14</v>
      </c>
      <c r="B12">
        <v>1</v>
      </c>
      <c r="C12" t="s">
        <v>70</v>
      </c>
      <c r="D12" t="s">
        <v>71</v>
      </c>
      <c r="E12" s="5">
        <v>45931.576122685183</v>
      </c>
      <c r="F12">
        <v>722.39800000000002</v>
      </c>
      <c r="G12">
        <v>191934.946</v>
      </c>
      <c r="H12">
        <v>2117.8249999999998</v>
      </c>
      <c r="I12">
        <v>-15.582000000000001</v>
      </c>
      <c r="J12">
        <v>0.57199999999999995</v>
      </c>
      <c r="K12">
        <v>1.9E-2</v>
      </c>
      <c r="L12">
        <v>50</v>
      </c>
      <c r="M12">
        <v>425</v>
      </c>
      <c r="N12">
        <v>538.24099999999999</v>
      </c>
    </row>
    <row r="13" spans="1:14" x14ac:dyDescent="0.2">
      <c r="A13">
        <v>16</v>
      </c>
      <c r="B13">
        <v>1</v>
      </c>
      <c r="C13" t="s">
        <v>50</v>
      </c>
      <c r="D13" t="s">
        <v>51</v>
      </c>
      <c r="E13" s="5">
        <v>45931.597962962966</v>
      </c>
      <c r="F13">
        <v>895.76700000000005</v>
      </c>
      <c r="G13">
        <v>239906.47</v>
      </c>
      <c r="H13">
        <v>2691.8490000000002</v>
      </c>
      <c r="I13">
        <v>0.90200000000000002</v>
      </c>
      <c r="J13">
        <v>0.51600000000000001</v>
      </c>
      <c r="K13">
        <v>1.9E-2</v>
      </c>
      <c r="L13">
        <v>50</v>
      </c>
      <c r="M13">
        <v>446</v>
      </c>
      <c r="N13">
        <v>564.74300000000005</v>
      </c>
    </row>
    <row r="14" spans="1:14" x14ac:dyDescent="0.2">
      <c r="A14">
        <v>17</v>
      </c>
      <c r="B14">
        <v>1</v>
      </c>
      <c r="C14" t="s">
        <v>52</v>
      </c>
      <c r="D14" t="s">
        <v>53</v>
      </c>
      <c r="E14" s="5">
        <v>45931.609710648147</v>
      </c>
      <c r="F14">
        <v>1804.57</v>
      </c>
      <c r="G14">
        <v>494234.35</v>
      </c>
      <c r="H14">
        <v>5561.11</v>
      </c>
      <c r="I14">
        <v>3.6850000000000001</v>
      </c>
      <c r="J14">
        <v>8.8160000000000007</v>
      </c>
      <c r="K14">
        <v>0.111</v>
      </c>
      <c r="L14">
        <v>50</v>
      </c>
      <c r="M14">
        <v>519</v>
      </c>
      <c r="N14">
        <v>658.30700000000002</v>
      </c>
    </row>
    <row r="15" spans="1:14" x14ac:dyDescent="0.2">
      <c r="A15">
        <v>18</v>
      </c>
      <c r="B15">
        <v>1</v>
      </c>
      <c r="C15" t="s">
        <v>54</v>
      </c>
      <c r="D15" t="s">
        <v>55</v>
      </c>
      <c r="E15" s="5">
        <v>45931.620671296296</v>
      </c>
      <c r="F15">
        <v>1947.15</v>
      </c>
      <c r="G15">
        <v>533697.47499999998</v>
      </c>
      <c r="H15">
        <v>5988.2470000000003</v>
      </c>
      <c r="I15">
        <v>1.069</v>
      </c>
      <c r="J15">
        <v>19.797999999999998</v>
      </c>
      <c r="K15">
        <v>0.23499999999999999</v>
      </c>
      <c r="L15">
        <v>50</v>
      </c>
      <c r="M15">
        <v>536</v>
      </c>
      <c r="N15">
        <v>679.35299999999995</v>
      </c>
    </row>
    <row r="16" spans="1:14" x14ac:dyDescent="0.2">
      <c r="A16">
        <v>19</v>
      </c>
      <c r="B16">
        <v>1</v>
      </c>
      <c r="C16" t="s">
        <v>56</v>
      </c>
      <c r="D16" t="s">
        <v>57</v>
      </c>
      <c r="E16" s="5">
        <v>45931.63685185185</v>
      </c>
      <c r="F16">
        <v>4421.4399999999996</v>
      </c>
      <c r="G16">
        <v>1503161.784</v>
      </c>
      <c r="H16">
        <v>16647.066999999999</v>
      </c>
      <c r="I16">
        <v>-11.618</v>
      </c>
      <c r="J16">
        <v>22.983000000000001</v>
      </c>
      <c r="K16">
        <v>0.26900000000000002</v>
      </c>
      <c r="L16">
        <v>50</v>
      </c>
      <c r="M16">
        <v>888</v>
      </c>
      <c r="N16">
        <v>1125.8989999999999</v>
      </c>
    </row>
    <row r="17" spans="1:14" x14ac:dyDescent="0.2">
      <c r="A17">
        <v>20</v>
      </c>
      <c r="B17">
        <v>1</v>
      </c>
      <c r="C17" t="s">
        <v>58</v>
      </c>
      <c r="D17" t="s">
        <v>59</v>
      </c>
      <c r="E17" s="5">
        <v>45931.649259259262</v>
      </c>
      <c r="F17">
        <v>1693.7829999999999</v>
      </c>
      <c r="G17">
        <v>497850.83100000001</v>
      </c>
      <c r="H17">
        <v>5512.45</v>
      </c>
      <c r="I17">
        <v>-11.994999999999999</v>
      </c>
      <c r="J17">
        <v>48.036999999999999</v>
      </c>
      <c r="K17">
        <v>0.54400000000000004</v>
      </c>
      <c r="L17">
        <v>50</v>
      </c>
      <c r="M17">
        <v>715</v>
      </c>
      <c r="N17">
        <v>906.03099999999995</v>
      </c>
    </row>
    <row r="18" spans="1:14" x14ac:dyDescent="0.2">
      <c r="A18">
        <v>21</v>
      </c>
      <c r="B18">
        <v>1</v>
      </c>
      <c r="C18" t="s">
        <v>60</v>
      </c>
      <c r="D18" t="s">
        <v>61</v>
      </c>
      <c r="E18" s="5">
        <v>45931.658425925925</v>
      </c>
      <c r="F18">
        <v>1188.4280000000001</v>
      </c>
      <c r="G18">
        <v>309466.50799999997</v>
      </c>
      <c r="H18">
        <v>3452.5039999999999</v>
      </c>
      <c r="I18">
        <v>-5.266</v>
      </c>
      <c r="J18">
        <v>48.008000000000003</v>
      </c>
      <c r="K18">
        <v>0.54400000000000004</v>
      </c>
      <c r="L18">
        <v>50</v>
      </c>
      <c r="M18">
        <v>494</v>
      </c>
      <c r="N18">
        <v>625.32000000000005</v>
      </c>
    </row>
    <row r="19" spans="1:14" x14ac:dyDescent="0.2">
      <c r="A19">
        <v>23</v>
      </c>
      <c r="B19">
        <v>1</v>
      </c>
      <c r="C19" t="s">
        <v>72</v>
      </c>
      <c r="D19" t="s">
        <v>73</v>
      </c>
      <c r="E19" s="5">
        <v>45931.675474537034</v>
      </c>
      <c r="F19">
        <v>69.06</v>
      </c>
      <c r="G19">
        <v>10275</v>
      </c>
      <c r="H19">
        <v>112.96299999999999</v>
      </c>
      <c r="I19">
        <v>-21.481999999999999</v>
      </c>
      <c r="J19">
        <v>2.4809999999999999</v>
      </c>
      <c r="K19">
        <v>3.9E-2</v>
      </c>
      <c r="L19">
        <v>50</v>
      </c>
      <c r="M19">
        <v>134</v>
      </c>
      <c r="N19">
        <v>168.232</v>
      </c>
    </row>
    <row r="20" spans="1:14" x14ac:dyDescent="0.2">
      <c r="A20">
        <v>24</v>
      </c>
      <c r="B20">
        <v>1</v>
      </c>
      <c r="C20" t="s">
        <v>74</v>
      </c>
      <c r="D20" t="s">
        <v>75</v>
      </c>
      <c r="E20" s="5">
        <v>45931.689525462964</v>
      </c>
      <c r="F20">
        <v>525.64800000000002</v>
      </c>
      <c r="G20">
        <v>137258.35399999999</v>
      </c>
      <c r="H20">
        <v>1514.499</v>
      </c>
      <c r="I20">
        <v>-15.753</v>
      </c>
      <c r="J20">
        <v>2.0049999999999999</v>
      </c>
      <c r="K20">
        <v>3.4000000000000002E-2</v>
      </c>
      <c r="L20">
        <v>50</v>
      </c>
      <c r="M20">
        <v>392</v>
      </c>
      <c r="N20">
        <v>496.10899999999998</v>
      </c>
    </row>
    <row r="21" spans="1:14" x14ac:dyDescent="0.2">
      <c r="A21">
        <v>25</v>
      </c>
      <c r="B21">
        <v>1</v>
      </c>
      <c r="C21" t="s">
        <v>76</v>
      </c>
      <c r="D21" t="s">
        <v>77</v>
      </c>
      <c r="E21" s="5">
        <v>45931.701192129629</v>
      </c>
      <c r="F21">
        <v>1003.687</v>
      </c>
      <c r="G21">
        <v>268904.57400000002</v>
      </c>
      <c r="H21">
        <v>2966.6550000000002</v>
      </c>
      <c r="I21">
        <v>-15.645</v>
      </c>
      <c r="J21">
        <v>5.9119999999999999</v>
      </c>
      <c r="K21">
        <v>7.8E-2</v>
      </c>
      <c r="L21">
        <v>50</v>
      </c>
      <c r="M21">
        <v>461</v>
      </c>
      <c r="N21">
        <v>583.48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C2D5A-0C6F-5247-9BB0-8C9D1EEBE727}">
  <dimension ref="A1:AO47"/>
  <sheetViews>
    <sheetView tabSelected="1" topLeftCell="W1" zoomScale="91" workbookViewId="0">
      <selection activeCell="AB10" sqref="AB10"/>
    </sheetView>
  </sheetViews>
  <sheetFormatPr baseColWidth="10" defaultRowHeight="16" x14ac:dyDescent="0.2"/>
  <cols>
    <col min="6" max="7" width="11" customWidth="1"/>
    <col min="8" max="8" width="10.33203125" customWidth="1"/>
    <col min="9" max="9" width="14.83203125" customWidth="1"/>
    <col min="13" max="16" width="11" bestFit="1" customWidth="1"/>
    <col min="19" max="21" width="11" bestFit="1" customWidth="1"/>
    <col min="22" max="22" width="25.6640625" customWidth="1"/>
    <col min="23" max="23" width="21.33203125" bestFit="1" customWidth="1"/>
    <col min="24" max="24" width="27.5" customWidth="1"/>
    <col min="26" max="27" width="12.33203125" bestFit="1" customWidth="1"/>
    <col min="28" max="29" width="11" bestFit="1" customWidth="1"/>
    <col min="30" max="30" width="12.33203125" bestFit="1" customWidth="1"/>
    <col min="31" max="31" width="12.83203125" bestFit="1" customWidth="1"/>
  </cols>
  <sheetData>
    <row r="1" spans="1:4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S1" t="s">
        <v>16</v>
      </c>
      <c r="T1" s="1" t="s">
        <v>17</v>
      </c>
      <c r="U1" s="1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1" t="s">
        <v>27</v>
      </c>
      <c r="AE1" s="2" t="s">
        <v>85</v>
      </c>
      <c r="AF1" s="2" t="s">
        <v>28</v>
      </c>
      <c r="AG1" s="2" t="s">
        <v>29</v>
      </c>
      <c r="AH1" s="3" t="s">
        <v>30</v>
      </c>
      <c r="AI1" t="s">
        <v>31</v>
      </c>
      <c r="AJ1" t="s">
        <v>32</v>
      </c>
      <c r="AK1" t="s">
        <v>33</v>
      </c>
      <c r="AN1" s="4" t="s">
        <v>34</v>
      </c>
      <c r="AO1" s="4" t="s">
        <v>35</v>
      </c>
    </row>
    <row r="2" spans="1:41" x14ac:dyDescent="0.2">
      <c r="A2">
        <v>7</v>
      </c>
      <c r="B2">
        <v>1</v>
      </c>
      <c r="C2" t="s">
        <v>36</v>
      </c>
      <c r="D2">
        <v>8.7840000000000007</v>
      </c>
      <c r="E2">
        <f>D2/1000</f>
        <v>8.7840000000000001E-3</v>
      </c>
      <c r="F2" t="s">
        <v>37</v>
      </c>
      <c r="G2" s="5">
        <v>45931.501747685186</v>
      </c>
      <c r="H2">
        <v>1617.855</v>
      </c>
      <c r="I2">
        <v>443724.95600000001</v>
      </c>
      <c r="J2">
        <v>4983.509</v>
      </c>
      <c r="K2">
        <v>1.9890000000000001</v>
      </c>
      <c r="L2">
        <v>1.085</v>
      </c>
      <c r="M2">
        <v>2.5000000000000001E-2</v>
      </c>
      <c r="N2">
        <v>50</v>
      </c>
      <c r="O2">
        <v>506</v>
      </c>
      <c r="P2">
        <v>641.678</v>
      </c>
      <c r="S2" s="6">
        <v>20.930278399999999</v>
      </c>
      <c r="T2">
        <f>S2/100</f>
        <v>0.20930278399999999</v>
      </c>
      <c r="U2">
        <f>T2*E2</f>
        <v>1.838515654656E-3</v>
      </c>
      <c r="V2" s="7">
        <f>($Z$26*I2)+$AA$26</f>
        <v>3.2099679804431156E-4</v>
      </c>
      <c r="W2" s="11">
        <f>V2/E2</f>
        <v>3.654335132562745E-2</v>
      </c>
      <c r="X2" s="11">
        <f>W2*100</f>
        <v>3.6543351325627449</v>
      </c>
      <c r="AA2">
        <f>SLOPE(E14:E21,I14:I21)</f>
        <v>2.3566168241319804E-8</v>
      </c>
      <c r="AB2">
        <f>INTERCEPT(E14:E21,I14:I21)</f>
        <v>1.1529965438441744E-4</v>
      </c>
      <c r="AC2">
        <v>3.0367179877806998</v>
      </c>
      <c r="AD2">
        <f>AC2/100</f>
        <v>3.0367179877806998E-2</v>
      </c>
      <c r="AF2">
        <f>AC2/100</f>
        <v>3.0367179877806998E-2</v>
      </c>
      <c r="AG2">
        <v>0.9647</v>
      </c>
      <c r="AH2">
        <f>AVERAGE(K14:K21)</f>
        <v>-16.801375</v>
      </c>
      <c r="AI2">
        <f>2*STDEV(K14:K21)</f>
        <v>4.4349336522658067</v>
      </c>
      <c r="AJ2">
        <f>COUNT(K14:K21)</f>
        <v>8</v>
      </c>
      <c r="AK2">
        <f>AI2/SQRT(AJ2)</f>
        <v>1.5679858298147868</v>
      </c>
      <c r="AM2" s="2" t="s">
        <v>38</v>
      </c>
      <c r="AN2">
        <v>-15.1206666666667</v>
      </c>
      <c r="AO2">
        <v>0.11762794452566684</v>
      </c>
    </row>
    <row r="3" spans="1:41" x14ac:dyDescent="0.2">
      <c r="A3">
        <v>8</v>
      </c>
      <c r="B3">
        <v>2</v>
      </c>
      <c r="C3" t="s">
        <v>39</v>
      </c>
      <c r="D3">
        <v>3.8170000000000002</v>
      </c>
      <c r="E3">
        <f t="shared" ref="E3:E21" si="0">D3/1000</f>
        <v>3.8170000000000001E-3</v>
      </c>
      <c r="F3" t="s">
        <v>40</v>
      </c>
      <c r="G3" s="5">
        <v>45931.512314814812</v>
      </c>
      <c r="H3">
        <v>1268.231</v>
      </c>
      <c r="I3">
        <v>340295.49300000002</v>
      </c>
      <c r="J3">
        <v>3838.94</v>
      </c>
      <c r="K3">
        <v>6.1459999999999999</v>
      </c>
      <c r="L3">
        <v>15.784000000000001</v>
      </c>
      <c r="M3">
        <v>0.189</v>
      </c>
      <c r="N3">
        <v>50</v>
      </c>
      <c r="O3">
        <v>485</v>
      </c>
      <c r="P3">
        <v>615.20600000000002</v>
      </c>
      <c r="S3" s="6">
        <v>52.393036500000001</v>
      </c>
      <c r="T3">
        <f t="shared" ref="T3:T13" si="1">S3/100</f>
        <v>0.52393036500000001</v>
      </c>
      <c r="U3">
        <f t="shared" ref="U3:U13" si="2">T3*E3</f>
        <v>1.9998422032050001E-3</v>
      </c>
      <c r="V3" s="7">
        <f t="shared" ref="V3:V13" si="3">($Z$26*I3)+$AA$26</f>
        <v>2.4701054537917973E-4</v>
      </c>
      <c r="W3" s="11">
        <f t="shared" ref="W3:W13" si="4">V3/E3</f>
        <v>6.4713268372852961E-2</v>
      </c>
      <c r="X3" s="11">
        <f t="shared" ref="X3:X13" si="5">W3*100</f>
        <v>6.4713268372852966</v>
      </c>
    </row>
    <row r="4" spans="1:41" x14ac:dyDescent="0.2">
      <c r="A4">
        <v>9</v>
      </c>
      <c r="B4">
        <v>3</v>
      </c>
      <c r="C4" t="s">
        <v>41</v>
      </c>
      <c r="D4">
        <v>2.0710000000000002</v>
      </c>
      <c r="E4">
        <f t="shared" si="0"/>
        <v>2.0710000000000004E-3</v>
      </c>
      <c r="F4" t="s">
        <v>42</v>
      </c>
      <c r="G4" s="5">
        <v>45931.522905092592</v>
      </c>
      <c r="H4">
        <v>1051.3789999999999</v>
      </c>
      <c r="I4">
        <v>281561.50900000002</v>
      </c>
      <c r="J4">
        <v>3173.57</v>
      </c>
      <c r="K4">
        <v>5.3339999999999996</v>
      </c>
      <c r="L4">
        <v>13.657</v>
      </c>
      <c r="M4">
        <v>0.16600000000000001</v>
      </c>
      <c r="N4">
        <v>50</v>
      </c>
      <c r="O4">
        <v>470</v>
      </c>
      <c r="P4">
        <v>594.56299999999999</v>
      </c>
      <c r="S4" s="6">
        <v>92.104831200000007</v>
      </c>
      <c r="T4">
        <f t="shared" si="1"/>
        <v>0.92104831200000004</v>
      </c>
      <c r="U4">
        <f t="shared" si="2"/>
        <v>1.9074910541520005E-3</v>
      </c>
      <c r="V4" s="7">
        <f t="shared" si="3"/>
        <v>2.0499633343017435E-4</v>
      </c>
      <c r="W4" s="11">
        <f t="shared" si="4"/>
        <v>9.8984226668360362E-2</v>
      </c>
      <c r="X4" s="11">
        <f t="shared" si="5"/>
        <v>9.8984226668360353</v>
      </c>
      <c r="AM4" s="2" t="s">
        <v>43</v>
      </c>
      <c r="AN4">
        <f>AH2-AN2</f>
        <v>-1.6807083333332997</v>
      </c>
      <c r="AO4">
        <f>SQRT((AK2^2) + (AO2^2))</f>
        <v>1.5723917755550934</v>
      </c>
    </row>
    <row r="5" spans="1:41" x14ac:dyDescent="0.2">
      <c r="A5">
        <v>10</v>
      </c>
      <c r="B5">
        <v>4</v>
      </c>
      <c r="C5" t="s">
        <v>44</v>
      </c>
      <c r="D5">
        <v>2.2320000000000002</v>
      </c>
      <c r="E5">
        <f t="shared" si="0"/>
        <v>2.232E-3</v>
      </c>
      <c r="F5" t="s">
        <v>45</v>
      </c>
      <c r="G5" s="5">
        <v>45931.533587962964</v>
      </c>
      <c r="H5">
        <v>1081.104</v>
      </c>
      <c r="I5">
        <v>288384.29100000003</v>
      </c>
      <c r="J5">
        <v>3254.4189999999999</v>
      </c>
      <c r="K5">
        <v>6.7039999999999997</v>
      </c>
      <c r="L5">
        <v>11.488</v>
      </c>
      <c r="M5">
        <v>0.14199999999999999</v>
      </c>
      <c r="N5">
        <v>50</v>
      </c>
      <c r="O5">
        <v>467</v>
      </c>
      <c r="P5">
        <v>591.76800000000003</v>
      </c>
      <c r="S5" s="6">
        <v>89.611879799999997</v>
      </c>
      <c r="T5">
        <f t="shared" si="1"/>
        <v>0.89611879799999994</v>
      </c>
      <c r="U5">
        <f t="shared" si="2"/>
        <v>2.0001371571359999E-3</v>
      </c>
      <c r="V5" s="7">
        <f t="shared" si="3"/>
        <v>2.0987687769956801E-4</v>
      </c>
      <c r="W5" s="11">
        <f t="shared" si="4"/>
        <v>9.4030859184394272E-2</v>
      </c>
      <c r="X5" s="11">
        <f t="shared" si="5"/>
        <v>9.4030859184394266</v>
      </c>
    </row>
    <row r="6" spans="1:41" x14ac:dyDescent="0.2">
      <c r="A6">
        <v>11</v>
      </c>
      <c r="B6">
        <v>5</v>
      </c>
      <c r="C6" t="s">
        <v>46</v>
      </c>
      <c r="D6">
        <v>2.4689999999999999</v>
      </c>
      <c r="E6">
        <f t="shared" si="0"/>
        <v>2.4689999999999998E-3</v>
      </c>
      <c r="F6" t="s">
        <v>47</v>
      </c>
      <c r="G6" s="5">
        <v>45931.544432870367</v>
      </c>
      <c r="H6">
        <v>1110.3599999999999</v>
      </c>
      <c r="I6">
        <v>297137.304</v>
      </c>
      <c r="J6">
        <v>3352.4189999999999</v>
      </c>
      <c r="K6">
        <v>6.6260000000000003</v>
      </c>
      <c r="L6">
        <v>10.978</v>
      </c>
      <c r="M6">
        <v>0.13800000000000001</v>
      </c>
      <c r="N6">
        <v>50</v>
      </c>
      <c r="O6">
        <v>470</v>
      </c>
      <c r="P6">
        <v>594.798</v>
      </c>
      <c r="S6" s="6">
        <v>79.052241499999994</v>
      </c>
      <c r="T6">
        <f t="shared" si="1"/>
        <v>0.79052241499999998</v>
      </c>
      <c r="U6">
        <f t="shared" si="2"/>
        <v>1.9517998426349999E-3</v>
      </c>
      <c r="V6" s="7">
        <f t="shared" si="3"/>
        <v>2.1613817513470196E-4</v>
      </c>
      <c r="W6" s="11">
        <f t="shared" si="4"/>
        <v>8.754077567221627E-2</v>
      </c>
      <c r="X6" s="11">
        <f t="shared" si="5"/>
        <v>8.7540775672216267</v>
      </c>
    </row>
    <row r="7" spans="1:41" x14ac:dyDescent="0.2">
      <c r="A7">
        <v>12</v>
      </c>
      <c r="B7">
        <v>6</v>
      </c>
      <c r="C7" t="s">
        <v>48</v>
      </c>
      <c r="D7">
        <v>3.1970000000000001</v>
      </c>
      <c r="E7">
        <f t="shared" si="0"/>
        <v>3.1970000000000002E-3</v>
      </c>
      <c r="F7" t="s">
        <v>49</v>
      </c>
      <c r="G7" s="5">
        <v>45931.555289351854</v>
      </c>
      <c r="H7">
        <v>1230.1130000000001</v>
      </c>
      <c r="I7">
        <v>330220.2</v>
      </c>
      <c r="J7">
        <v>3723.5410000000002</v>
      </c>
      <c r="K7">
        <v>5.9459999999999997</v>
      </c>
      <c r="L7">
        <v>11.208</v>
      </c>
      <c r="M7">
        <v>0.13900000000000001</v>
      </c>
      <c r="N7">
        <v>50</v>
      </c>
      <c r="O7">
        <v>479</v>
      </c>
      <c r="P7">
        <v>607.31399999999996</v>
      </c>
      <c r="S7" s="6">
        <v>65.377204500000005</v>
      </c>
      <c r="T7">
        <f t="shared" si="1"/>
        <v>0.65377204500000008</v>
      </c>
      <c r="U7">
        <f t="shared" si="2"/>
        <v>2.0901092278650005E-3</v>
      </c>
      <c r="V7" s="7">
        <f t="shared" si="3"/>
        <v>2.398033806898181E-4</v>
      </c>
      <c r="W7" s="11">
        <f t="shared" si="4"/>
        <v>7.5008877288025674E-2</v>
      </c>
      <c r="X7" s="11">
        <f t="shared" si="5"/>
        <v>7.5008877288025673</v>
      </c>
    </row>
    <row r="8" spans="1:41" x14ac:dyDescent="0.2">
      <c r="A8">
        <v>16</v>
      </c>
      <c r="B8">
        <v>7</v>
      </c>
      <c r="C8" t="s">
        <v>50</v>
      </c>
      <c r="D8">
        <v>15.032999999999999</v>
      </c>
      <c r="E8">
        <f t="shared" si="0"/>
        <v>1.5032999999999999E-2</v>
      </c>
      <c r="F8" t="s">
        <v>51</v>
      </c>
      <c r="G8" s="5">
        <v>45931.597962962966</v>
      </c>
      <c r="H8">
        <v>895.76700000000005</v>
      </c>
      <c r="I8">
        <v>239906.47</v>
      </c>
      <c r="J8">
        <v>2691.8490000000002</v>
      </c>
      <c r="K8">
        <v>0.90200000000000002</v>
      </c>
      <c r="L8">
        <v>0.51600000000000001</v>
      </c>
      <c r="M8">
        <v>1.9E-2</v>
      </c>
      <c r="N8">
        <v>50</v>
      </c>
      <c r="O8">
        <v>446</v>
      </c>
      <c r="P8">
        <v>564.74300000000005</v>
      </c>
      <c r="S8" s="6">
        <v>4.7182313300000001</v>
      </c>
      <c r="T8">
        <f t="shared" si="1"/>
        <v>4.7182313300000001E-2</v>
      </c>
      <c r="U8">
        <f t="shared" si="2"/>
        <v>7.0929171583890001E-4</v>
      </c>
      <c r="V8" s="7">
        <f t="shared" si="3"/>
        <v>1.7519921227302475E-4</v>
      </c>
      <c r="W8" s="11">
        <f t="shared" si="4"/>
        <v>1.1654308007252362E-2</v>
      </c>
      <c r="X8" s="11">
        <f t="shared" si="5"/>
        <v>1.1654308007252363</v>
      </c>
    </row>
    <row r="9" spans="1:41" x14ac:dyDescent="0.2">
      <c r="A9">
        <v>17</v>
      </c>
      <c r="B9">
        <v>8</v>
      </c>
      <c r="C9" t="s">
        <v>52</v>
      </c>
      <c r="D9">
        <v>6.82</v>
      </c>
      <c r="E9">
        <f t="shared" si="0"/>
        <v>6.8200000000000005E-3</v>
      </c>
      <c r="F9" t="s">
        <v>53</v>
      </c>
      <c r="G9" s="5">
        <v>45931.609710648147</v>
      </c>
      <c r="H9">
        <v>1804.57</v>
      </c>
      <c r="I9">
        <v>494234.35</v>
      </c>
      <c r="J9">
        <v>5561.11</v>
      </c>
      <c r="K9">
        <v>3.6850000000000001</v>
      </c>
      <c r="L9">
        <v>8.8160000000000007</v>
      </c>
      <c r="M9">
        <v>0.111</v>
      </c>
      <c r="N9">
        <v>50</v>
      </c>
      <c r="O9">
        <v>519</v>
      </c>
      <c r="P9">
        <v>658.30700000000002</v>
      </c>
      <c r="S9" s="6">
        <v>27.4441293</v>
      </c>
      <c r="T9">
        <f t="shared" si="1"/>
        <v>0.27444129299999998</v>
      </c>
      <c r="U9">
        <f t="shared" si="2"/>
        <v>1.87168961826E-3</v>
      </c>
      <c r="V9" s="7">
        <f t="shared" si="3"/>
        <v>3.5712770966324445E-4</v>
      </c>
      <c r="W9" s="11">
        <f t="shared" si="4"/>
        <v>5.2364766812792438E-2</v>
      </c>
      <c r="X9" s="11">
        <f t="shared" si="5"/>
        <v>5.2364766812792434</v>
      </c>
    </row>
    <row r="10" spans="1:41" x14ac:dyDescent="0.2">
      <c r="A10">
        <v>18</v>
      </c>
      <c r="B10">
        <v>9</v>
      </c>
      <c r="C10" t="s">
        <v>54</v>
      </c>
      <c r="D10">
        <v>10.698</v>
      </c>
      <c r="E10">
        <f t="shared" si="0"/>
        <v>1.0698000000000001E-2</v>
      </c>
      <c r="F10" t="s">
        <v>55</v>
      </c>
      <c r="G10" s="5">
        <v>45931.620671296296</v>
      </c>
      <c r="H10">
        <v>1947.15</v>
      </c>
      <c r="I10">
        <v>533697.47499999998</v>
      </c>
      <c r="J10">
        <v>5988.2470000000003</v>
      </c>
      <c r="K10">
        <v>1.069</v>
      </c>
      <c r="L10">
        <v>19.797999999999998</v>
      </c>
      <c r="M10">
        <v>0.23499999999999999</v>
      </c>
      <c r="N10">
        <v>50</v>
      </c>
      <c r="O10">
        <v>536</v>
      </c>
      <c r="P10">
        <v>679.35299999999995</v>
      </c>
      <c r="S10" s="6">
        <v>17.375616600000001</v>
      </c>
      <c r="T10">
        <f t="shared" si="1"/>
        <v>0.17375616600000002</v>
      </c>
      <c r="U10">
        <f t="shared" si="2"/>
        <v>1.8588434638680004E-3</v>
      </c>
      <c r="V10" s="7">
        <f t="shared" si="3"/>
        <v>3.8535688781537005E-4</v>
      </c>
      <c r="W10" s="11">
        <f t="shared" si="4"/>
        <v>3.6021395383751167E-2</v>
      </c>
      <c r="X10" s="11">
        <f t="shared" si="5"/>
        <v>3.6021395383751167</v>
      </c>
    </row>
    <row r="11" spans="1:41" x14ac:dyDescent="0.2">
      <c r="A11">
        <v>19</v>
      </c>
      <c r="B11">
        <v>10</v>
      </c>
      <c r="C11" t="s">
        <v>56</v>
      </c>
      <c r="D11" s="8">
        <v>15.028</v>
      </c>
      <c r="E11">
        <f t="shared" si="0"/>
        <v>1.5028E-2</v>
      </c>
      <c r="F11" t="s">
        <v>57</v>
      </c>
      <c r="G11" s="5">
        <v>45931.63685185185</v>
      </c>
      <c r="H11">
        <v>4421.4399999999996</v>
      </c>
      <c r="I11">
        <v>1503161.784</v>
      </c>
      <c r="J11">
        <v>16647.066999999999</v>
      </c>
      <c r="K11">
        <v>-11.618</v>
      </c>
      <c r="L11">
        <v>22.983000000000001</v>
      </c>
      <c r="M11">
        <v>0.26900000000000002</v>
      </c>
      <c r="N11">
        <v>50</v>
      </c>
      <c r="O11">
        <v>888</v>
      </c>
      <c r="P11">
        <v>1125.8989999999999</v>
      </c>
      <c r="S11" s="6">
        <v>6.4231313500000002</v>
      </c>
      <c r="T11">
        <f t="shared" si="1"/>
        <v>6.4231313499999998E-2</v>
      </c>
      <c r="U11">
        <f t="shared" si="2"/>
        <v>9.6526817927799992E-4</v>
      </c>
      <c r="V11" s="7">
        <f t="shared" si="3"/>
        <v>1.0788443065357152E-3</v>
      </c>
      <c r="W11" s="11">
        <f t="shared" si="4"/>
        <v>7.1788947733278902E-2</v>
      </c>
      <c r="X11" s="11">
        <f t="shared" si="5"/>
        <v>7.1788947733278903</v>
      </c>
    </row>
    <row r="12" spans="1:41" x14ac:dyDescent="0.2">
      <c r="A12">
        <v>20</v>
      </c>
      <c r="B12">
        <v>11</v>
      </c>
      <c r="C12" t="s">
        <v>58</v>
      </c>
      <c r="D12">
        <v>14.994999999999999</v>
      </c>
      <c r="E12">
        <f t="shared" si="0"/>
        <v>1.4995E-2</v>
      </c>
      <c r="F12" t="s">
        <v>59</v>
      </c>
      <c r="G12" s="5">
        <v>45931.649259259262</v>
      </c>
      <c r="H12">
        <v>1693.7829999999999</v>
      </c>
      <c r="I12">
        <v>497850.83100000001</v>
      </c>
      <c r="J12">
        <v>5512.45</v>
      </c>
      <c r="K12">
        <v>-11.994999999999999</v>
      </c>
      <c r="L12">
        <v>48.036999999999999</v>
      </c>
      <c r="M12">
        <v>0.54400000000000004</v>
      </c>
      <c r="N12">
        <v>50</v>
      </c>
      <c r="O12">
        <v>715</v>
      </c>
      <c r="P12">
        <v>906.03099999999995</v>
      </c>
      <c r="S12" s="6">
        <v>1.06856646</v>
      </c>
      <c r="T12">
        <f t="shared" si="1"/>
        <v>1.06856646E-2</v>
      </c>
      <c r="U12">
        <f t="shared" si="2"/>
        <v>1.6023154067699999E-4</v>
      </c>
      <c r="V12" s="7">
        <f t="shared" si="3"/>
        <v>3.5971468893649706E-4</v>
      </c>
      <c r="W12" s="11">
        <f t="shared" si="4"/>
        <v>2.3988975587629014E-2</v>
      </c>
      <c r="X12" s="11">
        <f t="shared" si="5"/>
        <v>2.3988975587629016</v>
      </c>
    </row>
    <row r="13" spans="1:41" x14ac:dyDescent="0.2">
      <c r="A13">
        <v>21</v>
      </c>
      <c r="B13">
        <v>12</v>
      </c>
      <c r="C13" t="s">
        <v>60</v>
      </c>
      <c r="D13">
        <v>15.012</v>
      </c>
      <c r="E13">
        <f t="shared" si="0"/>
        <v>1.5012000000000001E-2</v>
      </c>
      <c r="F13" t="s">
        <v>61</v>
      </c>
      <c r="G13" s="5">
        <v>45931.658425925925</v>
      </c>
      <c r="H13">
        <v>1188.4280000000001</v>
      </c>
      <c r="I13">
        <v>309466.50799999997</v>
      </c>
      <c r="J13">
        <v>3452.5039999999999</v>
      </c>
      <c r="K13">
        <v>-5.266</v>
      </c>
      <c r="L13">
        <v>48.008000000000003</v>
      </c>
      <c r="M13">
        <v>0.54400000000000004</v>
      </c>
      <c r="N13">
        <v>50</v>
      </c>
      <c r="O13">
        <v>494</v>
      </c>
      <c r="P13">
        <v>625.32000000000005</v>
      </c>
      <c r="S13" s="6">
        <v>3.5307939699999999</v>
      </c>
      <c r="T13">
        <f t="shared" si="1"/>
        <v>3.5307939699999999E-2</v>
      </c>
      <c r="U13">
        <f t="shared" si="2"/>
        <v>5.3004279077639997E-4</v>
      </c>
      <c r="V13" s="7">
        <f t="shared" si="3"/>
        <v>2.2495763117600376E-4</v>
      </c>
      <c r="W13" s="11">
        <f t="shared" si="4"/>
        <v>1.4985187261924044E-2</v>
      </c>
      <c r="X13" s="11">
        <f t="shared" si="5"/>
        <v>1.4985187261924044</v>
      </c>
    </row>
    <row r="14" spans="1:41" x14ac:dyDescent="0.2">
      <c r="A14">
        <v>2</v>
      </c>
      <c r="B14">
        <v>13</v>
      </c>
      <c r="C14" t="s">
        <v>62</v>
      </c>
      <c r="D14">
        <v>0.309</v>
      </c>
      <c r="E14">
        <f t="shared" si="0"/>
        <v>3.0899999999999998E-4</v>
      </c>
      <c r="F14" t="s">
        <v>63</v>
      </c>
      <c r="G14" s="5">
        <v>45931.442870370367</v>
      </c>
      <c r="H14">
        <v>57.564999999999998</v>
      </c>
      <c r="I14">
        <v>6251.7039999999997</v>
      </c>
      <c r="J14">
        <v>69.003</v>
      </c>
      <c r="K14">
        <v>-18.960999999999999</v>
      </c>
      <c r="L14">
        <v>0.92300000000000004</v>
      </c>
      <c r="M14">
        <v>2.1999999999999999E-2</v>
      </c>
      <c r="N14">
        <v>50</v>
      </c>
      <c r="O14">
        <v>91</v>
      </c>
      <c r="P14">
        <v>114.68</v>
      </c>
      <c r="W14" s="7"/>
      <c r="X14" s="7"/>
      <c r="AE14" s="9"/>
    </row>
    <row r="15" spans="1:41" x14ac:dyDescent="0.2">
      <c r="A15">
        <v>3</v>
      </c>
      <c r="B15">
        <v>14</v>
      </c>
      <c r="C15" t="s">
        <v>64</v>
      </c>
      <c r="D15">
        <v>3.2290000000000001</v>
      </c>
      <c r="E15">
        <f t="shared" si="0"/>
        <v>3.2290000000000001E-3</v>
      </c>
      <c r="F15" t="s">
        <v>65</v>
      </c>
      <c r="G15" s="5">
        <v>45931.456990740742</v>
      </c>
      <c r="H15">
        <v>471.65499999999997</v>
      </c>
      <c r="I15">
        <v>122617.224</v>
      </c>
      <c r="J15">
        <v>1352.7909999999999</v>
      </c>
      <c r="K15">
        <v>-15.811</v>
      </c>
      <c r="L15">
        <v>0.93500000000000005</v>
      </c>
      <c r="M15">
        <v>2.3E-2</v>
      </c>
      <c r="N15">
        <v>50</v>
      </c>
      <c r="O15">
        <v>380</v>
      </c>
      <c r="P15">
        <v>481.971</v>
      </c>
      <c r="W15" s="7"/>
      <c r="AE15" s="9">
        <f>$AD$2*E15</f>
        <v>9.8055623825438797E-5</v>
      </c>
    </row>
    <row r="16" spans="1:41" x14ac:dyDescent="0.2">
      <c r="A16">
        <v>4</v>
      </c>
      <c r="B16">
        <v>15</v>
      </c>
      <c r="C16" t="s">
        <v>66</v>
      </c>
      <c r="D16">
        <v>6.2709999999999999</v>
      </c>
      <c r="E16">
        <f t="shared" si="0"/>
        <v>6.2709999999999997E-3</v>
      </c>
      <c r="F16" t="s">
        <v>67</v>
      </c>
      <c r="G16" s="5">
        <v>45931.468715277777</v>
      </c>
      <c r="H16">
        <v>975.00099999999998</v>
      </c>
      <c r="I16">
        <v>260475.49799999999</v>
      </c>
      <c r="J16">
        <v>2873.9859999999999</v>
      </c>
      <c r="K16">
        <v>-15.618</v>
      </c>
      <c r="L16">
        <v>4.7510000000000003</v>
      </c>
      <c r="M16">
        <v>6.5000000000000002E-2</v>
      </c>
      <c r="N16">
        <v>50</v>
      </c>
      <c r="O16">
        <v>453</v>
      </c>
      <c r="P16">
        <v>575.154</v>
      </c>
      <c r="W16" s="7"/>
      <c r="AE16">
        <f>$AD$2*E16</f>
        <v>1.9043258501372768E-4</v>
      </c>
    </row>
    <row r="17" spans="1:31" x14ac:dyDescent="0.2">
      <c r="A17">
        <v>5</v>
      </c>
      <c r="B17">
        <v>16</v>
      </c>
      <c r="C17" t="s">
        <v>68</v>
      </c>
      <c r="D17">
        <v>9.26</v>
      </c>
      <c r="E17">
        <f t="shared" si="0"/>
        <v>9.2599999999999991E-3</v>
      </c>
      <c r="F17" t="s">
        <v>69</v>
      </c>
      <c r="G17" s="5">
        <v>45931.480069444442</v>
      </c>
      <c r="H17">
        <v>1409.731</v>
      </c>
      <c r="I17">
        <v>383016.40399999998</v>
      </c>
      <c r="J17">
        <v>4225.7849999999999</v>
      </c>
      <c r="K17">
        <v>-15.558999999999999</v>
      </c>
      <c r="L17">
        <v>9.4770000000000003</v>
      </c>
      <c r="M17">
        <v>0.11700000000000001</v>
      </c>
      <c r="N17">
        <v>50</v>
      </c>
      <c r="O17">
        <v>494</v>
      </c>
      <c r="P17">
        <v>627.44600000000003</v>
      </c>
      <c r="W17" s="7"/>
      <c r="AE17">
        <f t="shared" ref="AE16:AE21" si="6">$AD$2*E17</f>
        <v>2.8120008566849276E-4</v>
      </c>
    </row>
    <row r="18" spans="1:31" x14ac:dyDescent="0.2">
      <c r="A18">
        <v>14</v>
      </c>
      <c r="B18">
        <v>17</v>
      </c>
      <c r="C18" t="s">
        <v>70</v>
      </c>
      <c r="D18">
        <v>4.5190000000000001</v>
      </c>
      <c r="E18">
        <f t="shared" si="0"/>
        <v>4.5190000000000004E-3</v>
      </c>
      <c r="F18" t="s">
        <v>71</v>
      </c>
      <c r="G18" s="5">
        <v>45931.576122685183</v>
      </c>
      <c r="H18">
        <v>722.39800000000002</v>
      </c>
      <c r="I18">
        <v>191934.946</v>
      </c>
      <c r="J18">
        <v>2117.8249999999998</v>
      </c>
      <c r="K18">
        <v>-15.582000000000001</v>
      </c>
      <c r="L18">
        <v>0.57199999999999995</v>
      </c>
      <c r="M18">
        <v>1.9E-2</v>
      </c>
      <c r="N18">
        <v>50</v>
      </c>
      <c r="O18">
        <v>425</v>
      </c>
      <c r="P18">
        <v>538.24099999999999</v>
      </c>
      <c r="W18" s="7"/>
      <c r="AE18">
        <f t="shared" si="6"/>
        <v>1.3722928586780984E-4</v>
      </c>
    </row>
    <row r="19" spans="1:31" x14ac:dyDescent="0.2">
      <c r="A19">
        <v>23</v>
      </c>
      <c r="B19">
        <v>18</v>
      </c>
      <c r="C19" t="s">
        <v>72</v>
      </c>
      <c r="D19">
        <v>0.308</v>
      </c>
      <c r="E19">
        <f t="shared" si="0"/>
        <v>3.0800000000000001E-4</v>
      </c>
      <c r="F19" t="s">
        <v>73</v>
      </c>
      <c r="G19" s="5">
        <v>45931.675474537034</v>
      </c>
      <c r="H19">
        <v>69.06</v>
      </c>
      <c r="I19">
        <v>10275</v>
      </c>
      <c r="J19">
        <v>112.96299999999999</v>
      </c>
      <c r="K19">
        <v>-21.481999999999999</v>
      </c>
      <c r="L19">
        <v>2.4809999999999999</v>
      </c>
      <c r="M19">
        <v>3.9E-2</v>
      </c>
      <c r="N19">
        <v>50</v>
      </c>
      <c r="O19">
        <v>134</v>
      </c>
      <c r="P19">
        <v>168.232</v>
      </c>
      <c r="W19" s="7"/>
      <c r="AE19" s="9"/>
    </row>
    <row r="20" spans="1:31" x14ac:dyDescent="0.2">
      <c r="A20">
        <v>24</v>
      </c>
      <c r="B20">
        <v>19</v>
      </c>
      <c r="C20" t="s">
        <v>74</v>
      </c>
      <c r="D20">
        <v>3.2770000000000001</v>
      </c>
      <c r="E20">
        <f t="shared" si="0"/>
        <v>3.277E-3</v>
      </c>
      <c r="F20" t="s">
        <v>75</v>
      </c>
      <c r="G20" s="5">
        <v>45931.689525462964</v>
      </c>
      <c r="H20">
        <v>525.64800000000002</v>
      </c>
      <c r="I20">
        <v>137258.35399999999</v>
      </c>
      <c r="J20">
        <v>1514.499</v>
      </c>
      <c r="K20">
        <v>-15.753</v>
      </c>
      <c r="L20">
        <v>2.0049999999999999</v>
      </c>
      <c r="M20">
        <v>3.4000000000000002E-2</v>
      </c>
      <c r="N20">
        <v>50</v>
      </c>
      <c r="O20">
        <v>392</v>
      </c>
      <c r="P20">
        <v>496.10899999999998</v>
      </c>
      <c r="W20" s="7"/>
      <c r="AE20" s="9">
        <f t="shared" si="6"/>
        <v>9.9513248459573534E-5</v>
      </c>
    </row>
    <row r="21" spans="1:31" x14ac:dyDescent="0.2">
      <c r="A21">
        <v>25</v>
      </c>
      <c r="B21">
        <v>20</v>
      </c>
      <c r="C21" t="s">
        <v>76</v>
      </c>
      <c r="D21">
        <v>6.2880000000000003</v>
      </c>
      <c r="E21">
        <f t="shared" si="0"/>
        <v>6.2880000000000002E-3</v>
      </c>
      <c r="F21" t="s">
        <v>77</v>
      </c>
      <c r="G21" s="5">
        <v>45931.701192129629</v>
      </c>
      <c r="H21">
        <v>1003.687</v>
      </c>
      <c r="I21">
        <v>268904.57400000002</v>
      </c>
      <c r="J21">
        <v>2966.6550000000002</v>
      </c>
      <c r="K21">
        <v>-15.645</v>
      </c>
      <c r="L21">
        <v>5.9119999999999999</v>
      </c>
      <c r="M21">
        <v>7.8E-2</v>
      </c>
      <c r="N21">
        <v>50</v>
      </c>
      <c r="O21">
        <v>461</v>
      </c>
      <c r="P21">
        <v>583.48</v>
      </c>
      <c r="W21" s="7"/>
      <c r="AE21">
        <f t="shared" si="6"/>
        <v>1.909488270716504E-4</v>
      </c>
    </row>
    <row r="22" spans="1:31" x14ac:dyDescent="0.2">
      <c r="W22" s="7"/>
    </row>
    <row r="23" spans="1:31" x14ac:dyDescent="0.2">
      <c r="W23" s="7"/>
    </row>
    <row r="24" spans="1:31" x14ac:dyDescent="0.2">
      <c r="W24" s="7"/>
    </row>
    <row r="25" spans="1:31" x14ac:dyDescent="0.2">
      <c r="A25" t="s">
        <v>78</v>
      </c>
      <c r="B25" t="s">
        <v>38</v>
      </c>
      <c r="Z25" t="s">
        <v>79</v>
      </c>
      <c r="AA25" t="s">
        <v>80</v>
      </c>
      <c r="AB25" t="s">
        <v>81</v>
      </c>
    </row>
    <row r="26" spans="1:31" x14ac:dyDescent="0.2">
      <c r="A26" t="s">
        <v>82</v>
      </c>
      <c r="B26" s="10">
        <v>45931</v>
      </c>
      <c r="Z26">
        <f>SLOPE(AE15:AE21,I15:I21)</f>
        <v>7.1533053077082917E-10</v>
      </c>
      <c r="AA26">
        <f>INTERCEPT(AE15:AE21,I15:I21)</f>
        <v>3.5867897525687371E-6</v>
      </c>
      <c r="AB26">
        <f>RSQ(AE15:AE21,I15:I21)</f>
        <v>0.99579154472974496</v>
      </c>
    </row>
    <row r="28" spans="1:31" x14ac:dyDescent="0.2">
      <c r="I28" s="5"/>
    </row>
    <row r="29" spans="1:31" x14ac:dyDescent="0.2">
      <c r="I29" s="5"/>
    </row>
    <row r="30" spans="1:31" x14ac:dyDescent="0.2">
      <c r="I30" s="5"/>
    </row>
    <row r="31" spans="1:31" x14ac:dyDescent="0.2">
      <c r="I31" s="5"/>
    </row>
    <row r="32" spans="1:31" x14ac:dyDescent="0.2">
      <c r="I32" s="5"/>
    </row>
    <row r="33" spans="9:10" x14ac:dyDescent="0.2">
      <c r="I33" s="5"/>
    </row>
    <row r="34" spans="9:10" x14ac:dyDescent="0.2">
      <c r="I34" s="5"/>
    </row>
    <row r="35" spans="9:10" x14ac:dyDescent="0.2">
      <c r="I35" s="5"/>
    </row>
    <row r="36" spans="9:10" x14ac:dyDescent="0.2">
      <c r="I36" s="5"/>
    </row>
    <row r="37" spans="9:10" x14ac:dyDescent="0.2">
      <c r="I37" s="5"/>
      <c r="J37" s="8"/>
    </row>
    <row r="38" spans="9:10" x14ac:dyDescent="0.2">
      <c r="I38" s="5"/>
    </row>
    <row r="39" spans="9:10" x14ac:dyDescent="0.2">
      <c r="I39" s="5"/>
    </row>
    <row r="40" spans="9:10" x14ac:dyDescent="0.2">
      <c r="I40" s="5"/>
    </row>
    <row r="41" spans="9:10" x14ac:dyDescent="0.2">
      <c r="I41" s="5"/>
    </row>
    <row r="42" spans="9:10" x14ac:dyDescent="0.2">
      <c r="I42" s="5"/>
    </row>
    <row r="43" spans="9:10" x14ac:dyDescent="0.2">
      <c r="I43" s="5"/>
    </row>
    <row r="44" spans="9:10" x14ac:dyDescent="0.2">
      <c r="I44" s="5"/>
    </row>
    <row r="45" spans="9:10" x14ac:dyDescent="0.2">
      <c r="I45" s="5"/>
    </row>
    <row r="46" spans="9:10" x14ac:dyDescent="0.2">
      <c r="I46" s="5"/>
    </row>
    <row r="47" spans="9:10" x14ac:dyDescent="0.2">
      <c r="I47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CFGDS2436_IsotopicData_20251001</vt:lpstr>
      <vt:lpstr>CM workup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cshepp</dc:creator>
  <cp:lastModifiedBy>cshepp</cp:lastModifiedBy>
  <dcterms:created xsi:type="dcterms:W3CDTF">2025-10-15T23:27:15Z</dcterms:created>
  <dcterms:modified xsi:type="dcterms:W3CDTF">2025-11-14T22:27:46Z</dcterms:modified>
</cp:coreProperties>
</file>