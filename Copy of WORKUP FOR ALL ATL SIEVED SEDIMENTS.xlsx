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iresheppard/Downloads/"/>
    </mc:Choice>
  </mc:AlternateContent>
  <xr:revisionPtr revIDLastSave="0" documentId="13_ncr:1_{F5FA34AA-E92B-BF43-8EE3-5A63A3962C82}" xr6:coauthVersionLast="47" xr6:coauthVersionMax="47" xr10:uidLastSave="{00000000-0000-0000-0000-000000000000}"/>
  <bookViews>
    <workbookView xWindow="480" yWindow="760" windowWidth="24820" windowHeight="17380" firstSheet="1" activeTab="2" xr2:uid="{00000000-000D-0000-FFFF-FFFF00000000}"/>
  </bookViews>
  <sheets>
    <sheet name="data and calcs" sheetId="1" r:id="rId1"/>
    <sheet name="COMPILED DATASET" sheetId="2" r:id="rId2"/>
    <sheet name="foram_cocco_workup" sheetId="3" r:id="rId3"/>
    <sheet name="omegac_worku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7" i="2" l="1"/>
  <c r="AJ50" i="2"/>
  <c r="AJ46" i="2"/>
  <c r="AJ42" i="2"/>
  <c r="AJ38" i="2"/>
  <c r="AJ34" i="2"/>
  <c r="AJ30" i="2"/>
  <c r="AJ26" i="2"/>
  <c r="AJ22" i="2"/>
  <c r="AJ18" i="2"/>
  <c r="AJ14" i="2"/>
  <c r="AJ10" i="2"/>
  <c r="AJ6" i="2"/>
  <c r="AG43" i="2"/>
  <c r="AG39" i="2"/>
  <c r="AG35" i="2"/>
  <c r="AG31" i="2"/>
  <c r="AG27" i="2"/>
  <c r="AG23" i="2"/>
  <c r="AG19" i="2"/>
  <c r="AG15" i="2"/>
  <c r="AG11" i="2"/>
  <c r="AG7" i="2"/>
  <c r="AG3" i="2"/>
  <c r="AC47" i="2"/>
  <c r="AD48" i="2" s="1"/>
  <c r="AC43" i="2"/>
  <c r="AD45" i="2" s="1"/>
  <c r="AC39" i="2"/>
  <c r="AD42" i="2" s="1"/>
  <c r="AI42" i="2" s="1"/>
  <c r="AC35" i="2"/>
  <c r="AD38" i="2" s="1"/>
  <c r="AI38" i="2" s="1"/>
  <c r="AC31" i="2"/>
  <c r="AD34" i="2" s="1"/>
  <c r="AI34" i="2" s="1"/>
  <c r="AC27" i="2"/>
  <c r="AD28" i="2" s="1"/>
  <c r="AC23" i="2"/>
  <c r="AD26" i="2" s="1"/>
  <c r="AI26" i="2" s="1"/>
  <c r="AC19" i="2"/>
  <c r="AD21" i="2" s="1"/>
  <c r="AC15" i="2"/>
  <c r="AD18" i="2" s="1"/>
  <c r="AI18" i="2" s="1"/>
  <c r="AC11" i="2"/>
  <c r="AD13" i="2" s="1"/>
  <c r="AC7" i="2"/>
  <c r="AD8" i="2" s="1"/>
  <c r="AC3" i="2"/>
  <c r="AD3" i="2" s="1"/>
  <c r="AH50" i="2"/>
  <c r="AH46" i="2"/>
  <c r="AH42" i="2"/>
  <c r="AH38" i="2"/>
  <c r="AH34" i="2"/>
  <c r="AH30" i="2"/>
  <c r="AH26" i="2"/>
  <c r="AH22" i="2"/>
  <c r="AH18" i="2"/>
  <c r="AH14" i="2"/>
  <c r="AH10" i="2"/>
  <c r="AH6" i="2"/>
  <c r="AE47" i="2"/>
  <c r="AE43" i="2"/>
  <c r="AE39" i="2"/>
  <c r="AE35" i="2"/>
  <c r="AE31" i="2"/>
  <c r="AE27" i="2"/>
  <c r="AE23" i="2"/>
  <c r="AE19" i="2"/>
  <c r="AE15" i="2"/>
  <c r="AE11" i="2"/>
  <c r="AE7" i="2"/>
  <c r="AE3" i="2"/>
  <c r="R11" i="1"/>
  <c r="H47" i="2"/>
  <c r="I50" i="2" s="1"/>
  <c r="H43" i="2"/>
  <c r="I43" i="2" s="1"/>
  <c r="H39" i="2"/>
  <c r="I40" i="2" s="1"/>
  <c r="H35" i="2"/>
  <c r="I36" i="2" s="1"/>
  <c r="H31" i="2"/>
  <c r="I32" i="2" s="1"/>
  <c r="H27" i="2"/>
  <c r="I30" i="2" s="1"/>
  <c r="H23" i="2"/>
  <c r="I26" i="2" s="1"/>
  <c r="H19" i="2"/>
  <c r="I20" i="2" s="1"/>
  <c r="H15" i="2"/>
  <c r="I16" i="2" s="1"/>
  <c r="H11" i="2"/>
  <c r="I13" i="2" s="1"/>
  <c r="H7" i="2"/>
  <c r="I10" i="2" s="1"/>
  <c r="H3" i="2"/>
  <c r="I6" i="2" s="1"/>
  <c r="AK35" i="2" l="1"/>
  <c r="AK27" i="2"/>
  <c r="AK31" i="2"/>
  <c r="AK3" i="2"/>
  <c r="AK43" i="2"/>
  <c r="AK7" i="2"/>
  <c r="AD19" i="2"/>
  <c r="AK39" i="2"/>
  <c r="AK47" i="2"/>
  <c r="AK11" i="2"/>
  <c r="AK15" i="2"/>
  <c r="AK19" i="2"/>
  <c r="AK23" i="2"/>
  <c r="AD10" i="2"/>
  <c r="AI10" i="2" s="1"/>
  <c r="AD29" i="2"/>
  <c r="AD11" i="2"/>
  <c r="AF11" i="2" s="1"/>
  <c r="AD12" i="2"/>
  <c r="AD31" i="2"/>
  <c r="AD32" i="2"/>
  <c r="I24" i="2"/>
  <c r="AD30" i="2"/>
  <c r="AI30" i="2" s="1"/>
  <c r="AD33" i="2"/>
  <c r="AD39" i="2"/>
  <c r="AD23" i="2"/>
  <c r="AD49" i="2"/>
  <c r="AD20" i="2"/>
  <c r="AD22" i="2"/>
  <c r="AI22" i="2" s="1"/>
  <c r="AD24" i="2"/>
  <c r="AD50" i="2"/>
  <c r="AI50" i="2" s="1"/>
  <c r="I23" i="2"/>
  <c r="AD9" i="2"/>
  <c r="AD25" i="2"/>
  <c r="AD40" i="2"/>
  <c r="AD43" i="2"/>
  <c r="AD14" i="2"/>
  <c r="AI14" i="2" s="1"/>
  <c r="AD5" i="2"/>
  <c r="AD35" i="2"/>
  <c r="AD6" i="2"/>
  <c r="AI6" i="2" s="1"/>
  <c r="AD16" i="2"/>
  <c r="AD36" i="2"/>
  <c r="AD46" i="2"/>
  <c r="AI46" i="2" s="1"/>
  <c r="AD41" i="2"/>
  <c r="AD4" i="2"/>
  <c r="AD15" i="2"/>
  <c r="AD7" i="2"/>
  <c r="AD17" i="2"/>
  <c r="AD27" i="2"/>
  <c r="AF27" i="2" s="1"/>
  <c r="AD37" i="2"/>
  <c r="AD47" i="2"/>
  <c r="I44" i="2"/>
  <c r="AD44" i="2"/>
  <c r="I45" i="2"/>
  <c r="I25" i="2"/>
  <c r="I33" i="2"/>
  <c r="I34" i="2"/>
  <c r="I4" i="2"/>
  <c r="I5" i="2"/>
  <c r="I37" i="2"/>
  <c r="I46" i="2"/>
  <c r="I35" i="2"/>
  <c r="I38" i="2"/>
  <c r="I47" i="2"/>
  <c r="I3" i="2"/>
  <c r="I7" i="2"/>
  <c r="I8" i="2"/>
  <c r="I14" i="2"/>
  <c r="I15" i="2"/>
  <c r="I27" i="2"/>
  <c r="I11" i="2"/>
  <c r="I21" i="2"/>
  <c r="I31" i="2"/>
  <c r="I41" i="2"/>
  <c r="I12" i="2"/>
  <c r="I22" i="2"/>
  <c r="I42" i="2"/>
  <c r="I18" i="2"/>
  <c r="I28" i="2"/>
  <c r="I48" i="2"/>
  <c r="I17" i="2"/>
  <c r="I9" i="2"/>
  <c r="I19" i="2"/>
  <c r="I29" i="2"/>
  <c r="I39" i="2"/>
  <c r="I49" i="2"/>
  <c r="AF31" i="2" l="1"/>
  <c r="AF19" i="2"/>
  <c r="AF3" i="2"/>
  <c r="AF7" i="2"/>
  <c r="AF43" i="2"/>
  <c r="AF39" i="2"/>
  <c r="AF47" i="2"/>
  <c r="AF23" i="2"/>
  <c r="AF35" i="2"/>
  <c r="AF15" i="2"/>
  <c r="T12" i="1" l="1"/>
  <c r="AF2" i="1"/>
  <c r="AC2" i="1"/>
  <c r="X2" i="1"/>
  <c r="AI4" i="1"/>
  <c r="V16" i="1" s="1"/>
  <c r="AE2" i="1"/>
  <c r="AD2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R20" i="1"/>
  <c r="S20" i="1" s="1"/>
  <c r="T20" i="1" s="1"/>
  <c r="Y2" i="1"/>
  <c r="U11" i="1"/>
  <c r="V23" i="1" l="1"/>
  <c r="V13" i="1"/>
  <c r="V30" i="1"/>
  <c r="R17" i="1"/>
  <c r="S17" i="1" s="1"/>
  <c r="T17" i="1" s="1"/>
  <c r="V25" i="1"/>
  <c r="R25" i="1"/>
  <c r="S25" i="1" s="1"/>
  <c r="T25" i="1" s="1"/>
  <c r="R27" i="1"/>
  <c r="S27" i="1" s="1"/>
  <c r="T27" i="1" s="1"/>
  <c r="R28" i="1"/>
  <c r="S28" i="1" s="1"/>
  <c r="T28" i="1" s="1"/>
  <c r="R13" i="1"/>
  <c r="S13" i="1" s="1"/>
  <c r="T13" i="1" s="1"/>
  <c r="R15" i="1"/>
  <c r="S15" i="1" s="1"/>
  <c r="T15" i="1" s="1"/>
  <c r="S11" i="1"/>
  <c r="T11" i="1" s="1"/>
  <c r="V22" i="1"/>
  <c r="V12" i="1"/>
  <c r="R22" i="1"/>
  <c r="S22" i="1" s="1"/>
  <c r="T22" i="1" s="1"/>
  <c r="R29" i="1"/>
  <c r="S29" i="1" s="1"/>
  <c r="T29" i="1" s="1"/>
  <c r="V20" i="1"/>
  <c r="R24" i="1"/>
  <c r="S24" i="1" s="1"/>
  <c r="T24" i="1" s="1"/>
  <c r="R30" i="1"/>
  <c r="S30" i="1" s="1"/>
  <c r="T30" i="1" s="1"/>
  <c r="V15" i="1"/>
  <c r="R18" i="1"/>
  <c r="S18" i="1" s="1"/>
  <c r="T18" i="1" s="1"/>
  <c r="V11" i="1"/>
  <c r="V24" i="1"/>
  <c r="V14" i="1"/>
  <c r="W23" i="1"/>
  <c r="V27" i="1"/>
  <c r="V17" i="1"/>
  <c r="AJ4" i="1"/>
  <c r="W15" i="1" s="1"/>
  <c r="V21" i="1"/>
  <c r="W29" i="1"/>
  <c r="R19" i="1"/>
  <c r="S19" i="1" s="1"/>
  <c r="T19" i="1" s="1"/>
  <c r="R12" i="1"/>
  <c r="S12" i="1" s="1"/>
  <c r="V29" i="1"/>
  <c r="V19" i="1"/>
  <c r="R26" i="1"/>
  <c r="S26" i="1" s="1"/>
  <c r="T26" i="1" s="1"/>
  <c r="R16" i="1"/>
  <c r="S16" i="1" s="1"/>
  <c r="T16" i="1" s="1"/>
  <c r="V28" i="1"/>
  <c r="V18" i="1"/>
  <c r="R14" i="1"/>
  <c r="S14" i="1" s="1"/>
  <c r="T14" i="1" s="1"/>
  <c r="R21" i="1"/>
  <c r="S21" i="1" s="1"/>
  <c r="T21" i="1" s="1"/>
  <c r="R23" i="1"/>
  <c r="S23" i="1" s="1"/>
  <c r="T23" i="1" s="1"/>
  <c r="V26" i="1"/>
  <c r="W13" i="1" l="1"/>
  <c r="W20" i="1"/>
  <c r="W25" i="1"/>
  <c r="W21" i="1"/>
  <c r="W18" i="1"/>
  <c r="W30" i="1"/>
  <c r="W22" i="1"/>
  <c r="W19" i="1"/>
  <c r="W28" i="1"/>
  <c r="W16" i="1"/>
  <c r="W12" i="1"/>
  <c r="W17" i="1"/>
  <c r="W14" i="1"/>
  <c r="W11" i="1"/>
  <c r="W26" i="1"/>
  <c r="W27" i="1"/>
  <c r="W24" i="1"/>
</calcChain>
</file>

<file path=xl/sharedStrings.xml><?xml version="1.0" encoding="utf-8"?>
<sst xmlns="http://schemas.openxmlformats.org/spreadsheetml/2006/main" count="406" uniqueCount="191">
  <si>
    <t xml:space="preserve">               Start Time</t>
  </si>
  <si>
    <t xml:space="preserve">  End Time</t>
  </si>
  <si>
    <t xml:space="preserve">     Max 12CO2 (ppm)</t>
  </si>
  <si>
    <t xml:space="preserve">      12CO2 Integral</t>
  </si>
  <si>
    <t xml:space="preserve">      13CO2 Integral</t>
  </si>
  <si>
    <t xml:space="preserve">           Delta 13C</t>
  </si>
  <si>
    <t xml:space="preserve">      12CO2 Baseline</t>
  </si>
  <si>
    <t xml:space="preserve">      13CO2 Baseline</t>
  </si>
  <si>
    <t xml:space="preserve">           Threshold</t>
  </si>
  <si>
    <t>Number of data points</t>
  </si>
  <si>
    <t>Time interval (seconds)</t>
  </si>
  <si>
    <t xml:space="preserve">      2025/05/23 13:48:49</t>
  </si>
  <si>
    <t xml:space="preserve">      2025/05/23 14:05:04</t>
  </si>
  <si>
    <t xml:space="preserve">      2025/05/23 14:21:08</t>
  </si>
  <si>
    <t xml:space="preserve">      2025/05/23 14:37:33</t>
  </si>
  <si>
    <t xml:space="preserve">      2025/05/23 15:10:34</t>
  </si>
  <si>
    <t xml:space="preserve">      2025/05/23 15:27:31</t>
  </si>
  <si>
    <t xml:space="preserve">      2025/05/23 15:43:52</t>
  </si>
  <si>
    <t xml:space="preserve">      2025/05/23 16:00:18</t>
  </si>
  <si>
    <t xml:space="preserve">      2025/05/23 16:16:55</t>
  </si>
  <si>
    <t xml:space="preserve">      2025/05/23 16:33:18</t>
  </si>
  <si>
    <t xml:space="preserve">      2025/05/23 16:50:45</t>
  </si>
  <si>
    <t xml:space="preserve">      2025/05/23 17:06:19</t>
  </si>
  <si>
    <t xml:space="preserve">      2025/05/23 17:23:04</t>
  </si>
  <si>
    <t xml:space="preserve">      2025/05/23 17:39:19</t>
  </si>
  <si>
    <t xml:space="preserve">      2025/05/23 18:12:24</t>
  </si>
  <si>
    <t xml:space="preserve">      2025/05/23 18:45:42</t>
  </si>
  <si>
    <t xml:space="preserve">      2025/05/23 19:01:55</t>
  </si>
  <si>
    <t xml:space="preserve">      2025/05/23 19:18:27</t>
  </si>
  <si>
    <t xml:space="preserve">      2025/05/23 19:35:15</t>
  </si>
  <si>
    <t xml:space="preserve">      2025/05/23 19:51:34</t>
  </si>
  <si>
    <t xml:space="preserve">      2025/05/23 20:07:57</t>
  </si>
  <si>
    <t xml:space="preserve">      2025/05/23 20:24:29</t>
  </si>
  <si>
    <t xml:space="preserve">      2025/05/23 20:40:50</t>
  </si>
  <si>
    <t xml:space="preserve">      2025/05/23 20:57:26</t>
  </si>
  <si>
    <t xml:space="preserve">      2025/05/23 21:13:59</t>
  </si>
  <si>
    <t xml:space="preserve">      2025/05/23 21:47:25</t>
  </si>
  <si>
    <t xml:space="preserve">      2025/05/23 22:03:32</t>
  </si>
  <si>
    <t xml:space="preserve">      2025/05/23 22:19:54</t>
  </si>
  <si>
    <t xml:space="preserve">      2025/05/23 22:36:15</t>
  </si>
  <si>
    <t>sample mass</t>
  </si>
  <si>
    <t>sample ID</t>
  </si>
  <si>
    <t>site no</t>
  </si>
  <si>
    <t>description</t>
  </si>
  <si>
    <t>std</t>
  </si>
  <si>
    <t>sediment</t>
  </si>
  <si>
    <t xml:space="preserve">63-250 </t>
  </si>
  <si>
    <t xml:space="preserve">&gt; 250 </t>
  </si>
  <si>
    <t>size (um)</t>
  </si>
  <si>
    <t>&lt; 10</t>
  </si>
  <si>
    <t>&gt; 250</t>
  </si>
  <si>
    <t xml:space="preserve"> 10-63</t>
  </si>
  <si>
    <t>63-250</t>
  </si>
  <si>
    <t>g CaCO3 in sample</t>
  </si>
  <si>
    <t>g CaCO3/g sample</t>
  </si>
  <si>
    <t>%CaCO3</t>
  </si>
  <si>
    <t>peak 12CO2/sample mass</t>
  </si>
  <si>
    <t>slope of standards</t>
  </si>
  <si>
    <t>intercept of standards</t>
  </si>
  <si>
    <t>Desired 12CO2 peak height</t>
  </si>
  <si>
    <t>LP604</t>
  </si>
  <si>
    <t>LP605</t>
  </si>
  <si>
    <t>LP606</t>
  </si>
  <si>
    <t>LP607</t>
  </si>
  <si>
    <t>LP609</t>
  </si>
  <si>
    <t>LP610</t>
  </si>
  <si>
    <t>LP611</t>
  </si>
  <si>
    <t>LP612</t>
  </si>
  <si>
    <t>LP613</t>
  </si>
  <si>
    <t>LP614</t>
  </si>
  <si>
    <t>LP615</t>
  </si>
  <si>
    <t>LP616</t>
  </si>
  <si>
    <t>LP617</t>
  </si>
  <si>
    <t>LP618</t>
  </si>
  <si>
    <t>LP620</t>
  </si>
  <si>
    <t>LP622</t>
  </si>
  <si>
    <t>LP623</t>
  </si>
  <si>
    <t>LP624</t>
  </si>
  <si>
    <t>LP625</t>
  </si>
  <si>
    <t>LP626</t>
  </si>
  <si>
    <t>LP627</t>
  </si>
  <si>
    <t>LP628</t>
  </si>
  <si>
    <t>LP629</t>
  </si>
  <si>
    <t>LP630</t>
  </si>
  <si>
    <t>LP631</t>
  </si>
  <si>
    <t>LP633</t>
  </si>
  <si>
    <t>LP634</t>
  </si>
  <si>
    <t>LP635</t>
  </si>
  <si>
    <t>LP636</t>
  </si>
  <si>
    <t>NBS-18</t>
  </si>
  <si>
    <t>std:</t>
  </si>
  <si>
    <t>Run Date:</t>
  </si>
  <si>
    <t>R^2 std curve</t>
  </si>
  <si>
    <t>Average d13C of standards</t>
  </si>
  <si>
    <t>2s stdev std d13C</t>
  </si>
  <si>
    <t>count stds</t>
  </si>
  <si>
    <t>2s std err stds</t>
  </si>
  <si>
    <t>Value</t>
  </si>
  <si>
    <t>SD</t>
  </si>
  <si>
    <t>Offset from true</t>
  </si>
  <si>
    <t>d13C (per mille)</t>
  </si>
  <si>
    <t>d13C_err</t>
  </si>
  <si>
    <t>size index</t>
  </si>
  <si>
    <t>LP650</t>
  </si>
  <si>
    <t xml:space="preserve">      2025/06/02 16:54:52</t>
  </si>
  <si>
    <t>LP662</t>
  </si>
  <si>
    <t xml:space="preserve">      2025/06/02 19:23:51</t>
  </si>
  <si>
    <t>LP670</t>
  </si>
  <si>
    <t>&lt;10</t>
  </si>
  <si>
    <t xml:space="preserve">      2025/06/02 20:46:23</t>
  </si>
  <si>
    <t>LP668</t>
  </si>
  <si>
    <t>&gt;250</t>
  </si>
  <si>
    <t xml:space="preserve">      2025/06/02 20:29:57</t>
  </si>
  <si>
    <t>LP649</t>
  </si>
  <si>
    <t xml:space="preserve">      2025/06/02 16:38:19</t>
  </si>
  <si>
    <t>LP665</t>
  </si>
  <si>
    <t xml:space="preserve">      2025/06/02 19:40:13</t>
  </si>
  <si>
    <t>LP667</t>
  </si>
  <si>
    <t xml:space="preserve">      2025/06/02 20:13:04</t>
  </si>
  <si>
    <t>LP674</t>
  </si>
  <si>
    <t xml:space="preserve">      2025/06/02 21:52:15</t>
  </si>
  <si>
    <t>LP661</t>
  </si>
  <si>
    <t xml:space="preserve">      2025/06/02 19:07:18</t>
  </si>
  <si>
    <t>LP673</t>
  </si>
  <si>
    <t xml:space="preserve">      2025/06/02 21:35:53</t>
  </si>
  <si>
    <t>LP654</t>
  </si>
  <si>
    <t xml:space="preserve">      2025/06/02 17:44:36</t>
  </si>
  <si>
    <t>LP666</t>
  </si>
  <si>
    <t xml:space="preserve">      2025/06/02 19:57:43</t>
  </si>
  <si>
    <t>LP671</t>
  </si>
  <si>
    <t xml:space="preserve">      2025/06/02 21:02:53</t>
  </si>
  <si>
    <t>LP645</t>
  </si>
  <si>
    <t xml:space="preserve">      2025/06/02 16:05:30</t>
  </si>
  <si>
    <t>LP651</t>
  </si>
  <si>
    <t xml:space="preserve">      2025/06/02 17:11:15</t>
  </si>
  <si>
    <t>LP672</t>
  </si>
  <si>
    <t xml:space="preserve">      2025/06/02 21:19:16</t>
  </si>
  <si>
    <t>LP652</t>
  </si>
  <si>
    <t xml:space="preserve">      2025/06/02 17:28:27</t>
  </si>
  <si>
    <t>LP648</t>
  </si>
  <si>
    <t xml:space="preserve">      2025/06/02 16:21:41</t>
  </si>
  <si>
    <t xml:space="preserve">      2025/07/10 14:59:51</t>
  </si>
  <si>
    <t xml:space="preserve">      2025/07/10 15:16:36</t>
  </si>
  <si>
    <t xml:space="preserve">      2025/07/10 15:32:54</t>
  </si>
  <si>
    <t xml:space="preserve">      2025/07/10 15:49:46</t>
  </si>
  <si>
    <t xml:space="preserve">      2025/07/10 16:06:20</t>
  </si>
  <si>
    <t xml:space="preserve">      2025/07/10 16:22:29</t>
  </si>
  <si>
    <t xml:space="preserve">      2025/07/10 17:28:37</t>
  </si>
  <si>
    <t xml:space="preserve">      2025/07/10 17:45:04</t>
  </si>
  <si>
    <t xml:space="preserve">      2025/07/10 18:01:52</t>
  </si>
  <si>
    <t xml:space="preserve">      2025/07/10 18:18:18</t>
  </si>
  <si>
    <t>total bulk sample sieved</t>
  </si>
  <si>
    <t>mass fraction</t>
  </si>
  <si>
    <t xml:space="preserve">sample mass analyzed </t>
  </si>
  <si>
    <t>sample mass used for analysis (g)</t>
  </si>
  <si>
    <t>sample mass sieved (g)</t>
  </si>
  <si>
    <t>sample mass sieved (1)</t>
  </si>
  <si>
    <t xml:space="preserve">Forams </t>
  </si>
  <si>
    <t>foram mass in sample</t>
  </si>
  <si>
    <t>Coccolithophores</t>
  </si>
  <si>
    <t>Coccolithophores mass in sample</t>
  </si>
  <si>
    <t>total CaCO3 in sample</t>
  </si>
  <si>
    <t>fraction of CaCO3 in each size fraction</t>
  </si>
  <si>
    <t>fraction of CaCO3 in forams</t>
  </si>
  <si>
    <t>fraction of CaCO3 in cocco</t>
  </si>
  <si>
    <t>cocco CaCO3/ foram CaCO3</t>
  </si>
  <si>
    <t>depth</t>
  </si>
  <si>
    <t>station</t>
  </si>
  <si>
    <t xml:space="preserve">depth </t>
  </si>
  <si>
    <t>st1</t>
  </si>
  <si>
    <t>st3</t>
  </si>
  <si>
    <t>st4</t>
  </si>
  <si>
    <t>st6</t>
  </si>
  <si>
    <t>st8</t>
  </si>
  <si>
    <t>st9</t>
  </si>
  <si>
    <t>st10</t>
  </si>
  <si>
    <t>st11</t>
  </si>
  <si>
    <t>st12</t>
  </si>
  <si>
    <t>st16</t>
  </si>
  <si>
    <t>st16.2</t>
  </si>
  <si>
    <t>st18</t>
  </si>
  <si>
    <t>d13C foram</t>
  </si>
  <si>
    <t>d13C cocco</t>
  </si>
  <si>
    <t>omega C</t>
  </si>
  <si>
    <t>Lon</t>
  </si>
  <si>
    <t>Lat</t>
  </si>
  <si>
    <t>DATA</t>
  </si>
  <si>
    <t xml:space="preserve">ODV </t>
  </si>
  <si>
    <t>lon</t>
  </si>
  <si>
    <t>lat</t>
  </si>
  <si>
    <t>%CaCO3 (prelim)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</si>
</sst>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5" x14ac:knownFonts="1">
    <font>
      <sz val="12"/>
      <color theme="1"/>
      <name val="Calibri"/>
      <family val="2"/>
      <scheme val="minor"/>
    </font>
    <font>
      <sz val="8"/>
      <name val="Calibri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ptos Narrow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2CC"/>
        <bgColor rgb="FFFFF2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6">
    <xf numFmtId="0" fontId="0" fillId="0" borderId="0" xfId="0"/>
    <xf numFmtId="22" fontId="0" fillId="0" borderId="0" xfId="0" applyNumberFormat="1"/>
    <xf numFmtId="0" fontId="19" fillId="0" borderId="0" xfId="0" applyFont="1"/>
    <xf numFmtId="14" fontId="0" fillId="0" borderId="0" xfId="0" applyNumberFormat="1"/>
    <xf numFmtId="0" fontId="17" fillId="0" borderId="0" xfId="0" applyFont="1"/>
    <xf numFmtId="0" fontId="20" fillId="0" borderId="0" xfId="0" applyFont="1"/>
    <xf numFmtId="164" fontId="0" fillId="0" borderId="0" xfId="0" applyNumberFormat="1"/>
    <xf numFmtId="17" fontId="0" fillId="0" borderId="0" xfId="0" applyNumberFormat="1"/>
    <xf numFmtId="22" fontId="17" fillId="0" borderId="0" xfId="0" applyNumberFormat="1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" fillId="0" borderId="0" xfId="29" applyFont="1" applyFill="1"/>
    <xf numFmtId="0" fontId="24" fillId="33" borderId="0" xfId="0" applyFont="1" applyFill="1"/>
    <xf numFmtId="0" fontId="8" fillId="29" borderId="0" xfId="29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forams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'COMPILED DATASET'!$AF$2:$AF$50</c:f>
              <c:strCache>
                <c:ptCount val="46"/>
                <c:pt idx="0">
                  <c:v>fraction of CaCO3 in forams</c:v>
                </c:pt>
                <c:pt idx="1">
                  <c:v>0.830215372</c:v>
                </c:pt>
                <c:pt idx="5">
                  <c:v>0.707358025</c:v>
                </c:pt>
                <c:pt idx="9">
                  <c:v>0.720446176</c:v>
                </c:pt>
                <c:pt idx="13">
                  <c:v>0.700652195</c:v>
                </c:pt>
                <c:pt idx="17">
                  <c:v>0.797282383</c:v>
                </c:pt>
                <c:pt idx="21">
                  <c:v>0.807908072</c:v>
                </c:pt>
                <c:pt idx="25">
                  <c:v>0.785393204</c:v>
                </c:pt>
                <c:pt idx="29">
                  <c:v>0.772336617</c:v>
                </c:pt>
                <c:pt idx="33">
                  <c:v>0.729271376</c:v>
                </c:pt>
                <c:pt idx="37">
                  <c:v>0.570686753</c:v>
                </c:pt>
                <c:pt idx="41">
                  <c:v>0.822965976</c:v>
                </c:pt>
                <c:pt idx="45">
                  <c:v>0.559104708</c:v>
                </c:pt>
              </c:strCache>
            </c:strRef>
          </c:xVal>
          <c:yVal>
            <c:numRef>
              <c:f>'COMPILED DATASET'!$C$3:$C$50</c:f>
              <c:numCache>
                <c:formatCode>General</c:formatCode>
                <c:ptCount val="48"/>
                <c:pt idx="0">
                  <c:v>1333</c:v>
                </c:pt>
                <c:pt idx="1">
                  <c:v>1333</c:v>
                </c:pt>
                <c:pt idx="2">
                  <c:v>1333</c:v>
                </c:pt>
                <c:pt idx="3">
                  <c:v>1333</c:v>
                </c:pt>
                <c:pt idx="4">
                  <c:v>1616</c:v>
                </c:pt>
                <c:pt idx="5">
                  <c:v>1616</c:v>
                </c:pt>
                <c:pt idx="6">
                  <c:v>1616</c:v>
                </c:pt>
                <c:pt idx="7">
                  <c:v>1616</c:v>
                </c:pt>
                <c:pt idx="8">
                  <c:v>1664</c:v>
                </c:pt>
                <c:pt idx="9">
                  <c:v>1664</c:v>
                </c:pt>
                <c:pt idx="10">
                  <c:v>1664</c:v>
                </c:pt>
                <c:pt idx="11">
                  <c:v>1664</c:v>
                </c:pt>
                <c:pt idx="12">
                  <c:v>2296</c:v>
                </c:pt>
                <c:pt idx="13">
                  <c:v>2296</c:v>
                </c:pt>
                <c:pt idx="14">
                  <c:v>2296</c:v>
                </c:pt>
                <c:pt idx="15">
                  <c:v>2296</c:v>
                </c:pt>
                <c:pt idx="16">
                  <c:v>1877</c:v>
                </c:pt>
                <c:pt idx="17">
                  <c:v>1877</c:v>
                </c:pt>
                <c:pt idx="18">
                  <c:v>1877</c:v>
                </c:pt>
                <c:pt idx="19">
                  <c:v>1877</c:v>
                </c:pt>
                <c:pt idx="20">
                  <c:v>2730</c:v>
                </c:pt>
                <c:pt idx="21">
                  <c:v>2730</c:v>
                </c:pt>
                <c:pt idx="22">
                  <c:v>2730</c:v>
                </c:pt>
                <c:pt idx="23">
                  <c:v>2730</c:v>
                </c:pt>
                <c:pt idx="24">
                  <c:v>688</c:v>
                </c:pt>
                <c:pt idx="25">
                  <c:v>688</c:v>
                </c:pt>
                <c:pt idx="26">
                  <c:v>688</c:v>
                </c:pt>
                <c:pt idx="27">
                  <c:v>688</c:v>
                </c:pt>
                <c:pt idx="28">
                  <c:v>2740</c:v>
                </c:pt>
                <c:pt idx="29">
                  <c:v>2740</c:v>
                </c:pt>
                <c:pt idx="30">
                  <c:v>2740</c:v>
                </c:pt>
                <c:pt idx="31">
                  <c:v>2740</c:v>
                </c:pt>
                <c:pt idx="32">
                  <c:v>1060</c:v>
                </c:pt>
                <c:pt idx="33">
                  <c:v>1060</c:v>
                </c:pt>
                <c:pt idx="34">
                  <c:v>1060</c:v>
                </c:pt>
                <c:pt idx="35">
                  <c:v>1060</c:v>
                </c:pt>
                <c:pt idx="36">
                  <c:v>1132</c:v>
                </c:pt>
                <c:pt idx="37">
                  <c:v>1132</c:v>
                </c:pt>
                <c:pt idx="38">
                  <c:v>1132</c:v>
                </c:pt>
                <c:pt idx="39">
                  <c:v>1132</c:v>
                </c:pt>
                <c:pt idx="40">
                  <c:v>209</c:v>
                </c:pt>
                <c:pt idx="41">
                  <c:v>209</c:v>
                </c:pt>
                <c:pt idx="42">
                  <c:v>209</c:v>
                </c:pt>
                <c:pt idx="43">
                  <c:v>209</c:v>
                </c:pt>
                <c:pt idx="44">
                  <c:v>918</c:v>
                </c:pt>
                <c:pt idx="45">
                  <c:v>918</c:v>
                </c:pt>
                <c:pt idx="46">
                  <c:v>918</c:v>
                </c:pt>
                <c:pt idx="47">
                  <c:v>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C7-934B-9C84-02E716BAA9E7}"/>
            </c:ext>
          </c:extLst>
        </c:ser>
        <c:ser>
          <c:idx val="1"/>
          <c:order val="1"/>
          <c:tx>
            <c:v>cocco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'COMPILED DATASET'!$AI$3:$AI$50</c:f>
              <c:numCache>
                <c:formatCode>General</c:formatCode>
                <c:ptCount val="48"/>
                <c:pt idx="3">
                  <c:v>0.16978462822975826</c:v>
                </c:pt>
                <c:pt idx="7">
                  <c:v>0.29264197522338342</c:v>
                </c:pt>
                <c:pt idx="11">
                  <c:v>0.27955382419443536</c:v>
                </c:pt>
                <c:pt idx="15">
                  <c:v>0.29934780549128948</c:v>
                </c:pt>
                <c:pt idx="19">
                  <c:v>0.20271761736338204</c:v>
                </c:pt>
                <c:pt idx="23">
                  <c:v>0.19209192834465266</c:v>
                </c:pt>
                <c:pt idx="27">
                  <c:v>0.21460679583848055</c:v>
                </c:pt>
                <c:pt idx="31">
                  <c:v>0.22766338300215216</c:v>
                </c:pt>
                <c:pt idx="35">
                  <c:v>0.27072862414107579</c:v>
                </c:pt>
                <c:pt idx="39">
                  <c:v>0.42931324678030369</c:v>
                </c:pt>
                <c:pt idx="43">
                  <c:v>0.17703402353786901</c:v>
                </c:pt>
                <c:pt idx="47">
                  <c:v>0.44089529156899815</c:v>
                </c:pt>
              </c:numCache>
            </c:numRef>
          </c:xVal>
          <c:yVal>
            <c:numRef>
              <c:f>'COMPILED DATASET'!$C$3:$C$50</c:f>
              <c:numCache>
                <c:formatCode>General</c:formatCode>
                <c:ptCount val="48"/>
                <c:pt idx="0">
                  <c:v>1333</c:v>
                </c:pt>
                <c:pt idx="1">
                  <c:v>1333</c:v>
                </c:pt>
                <c:pt idx="2">
                  <c:v>1333</c:v>
                </c:pt>
                <c:pt idx="3">
                  <c:v>1333</c:v>
                </c:pt>
                <c:pt idx="4">
                  <c:v>1616</c:v>
                </c:pt>
                <c:pt idx="5">
                  <c:v>1616</c:v>
                </c:pt>
                <c:pt idx="6">
                  <c:v>1616</c:v>
                </c:pt>
                <c:pt idx="7">
                  <c:v>1616</c:v>
                </c:pt>
                <c:pt idx="8">
                  <c:v>1664</c:v>
                </c:pt>
                <c:pt idx="9">
                  <c:v>1664</c:v>
                </c:pt>
                <c:pt idx="10">
                  <c:v>1664</c:v>
                </c:pt>
                <c:pt idx="11">
                  <c:v>1664</c:v>
                </c:pt>
                <c:pt idx="12">
                  <c:v>2296</c:v>
                </c:pt>
                <c:pt idx="13">
                  <c:v>2296</c:v>
                </c:pt>
                <c:pt idx="14">
                  <c:v>2296</c:v>
                </c:pt>
                <c:pt idx="15">
                  <c:v>2296</c:v>
                </c:pt>
                <c:pt idx="16">
                  <c:v>1877</c:v>
                </c:pt>
                <c:pt idx="17">
                  <c:v>1877</c:v>
                </c:pt>
                <c:pt idx="18">
                  <c:v>1877</c:v>
                </c:pt>
                <c:pt idx="19">
                  <c:v>1877</c:v>
                </c:pt>
                <c:pt idx="20">
                  <c:v>2730</c:v>
                </c:pt>
                <c:pt idx="21">
                  <c:v>2730</c:v>
                </c:pt>
                <c:pt idx="22">
                  <c:v>2730</c:v>
                </c:pt>
                <c:pt idx="23">
                  <c:v>2730</c:v>
                </c:pt>
                <c:pt idx="24">
                  <c:v>688</c:v>
                </c:pt>
                <c:pt idx="25">
                  <c:v>688</c:v>
                </c:pt>
                <c:pt idx="26">
                  <c:v>688</c:v>
                </c:pt>
                <c:pt idx="27">
                  <c:v>688</c:v>
                </c:pt>
                <c:pt idx="28">
                  <c:v>2740</c:v>
                </c:pt>
                <c:pt idx="29">
                  <c:v>2740</c:v>
                </c:pt>
                <c:pt idx="30">
                  <c:v>2740</c:v>
                </c:pt>
                <c:pt idx="31">
                  <c:v>2740</c:v>
                </c:pt>
                <c:pt idx="32">
                  <c:v>1060</c:v>
                </c:pt>
                <c:pt idx="33">
                  <c:v>1060</c:v>
                </c:pt>
                <c:pt idx="34">
                  <c:v>1060</c:v>
                </c:pt>
                <c:pt idx="35">
                  <c:v>1060</c:v>
                </c:pt>
                <c:pt idx="36">
                  <c:v>1132</c:v>
                </c:pt>
                <c:pt idx="37">
                  <c:v>1132</c:v>
                </c:pt>
                <c:pt idx="38">
                  <c:v>1132</c:v>
                </c:pt>
                <c:pt idx="39">
                  <c:v>1132</c:v>
                </c:pt>
                <c:pt idx="40">
                  <c:v>209</c:v>
                </c:pt>
                <c:pt idx="41">
                  <c:v>209</c:v>
                </c:pt>
                <c:pt idx="42">
                  <c:v>209</c:v>
                </c:pt>
                <c:pt idx="43">
                  <c:v>209</c:v>
                </c:pt>
                <c:pt idx="44">
                  <c:v>918</c:v>
                </c:pt>
                <c:pt idx="45">
                  <c:v>918</c:v>
                </c:pt>
                <c:pt idx="46">
                  <c:v>918</c:v>
                </c:pt>
                <c:pt idx="47">
                  <c:v>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C7-934B-9C84-02E716BAA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920560"/>
        <c:axId val="982141135"/>
      </c:scatterChart>
      <c:valAx>
        <c:axId val="134692056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141135"/>
        <c:crosses val="autoZero"/>
        <c:crossBetween val="midCat"/>
      </c:valAx>
      <c:valAx>
        <c:axId val="98214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920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627866</xdr:colOff>
      <xdr:row>52</xdr:row>
      <xdr:rowOff>114158</xdr:rowOff>
    </xdr:from>
    <xdr:to>
      <xdr:col>10</xdr:col>
      <xdr:colOff>770562</xdr:colOff>
      <xdr:row>82</xdr:row>
      <xdr:rowOff>71349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9151C5-1571-4B56-2EE7-D2A2FF93D8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7"/>
  <sheetViews>
    <sheetView zoomScale="51" workbookViewId="0">
      <selection activeCell="S11" sqref="S11"/>
    </sheetView>
  </sheetViews>
  <sheetFormatPr baseColWidth="10" defaultRowHeight="16" x14ac:dyDescent="0.2"/>
  <cols>
    <col min="24" max="24" width="12.1640625" bestFit="1" customWidth="1"/>
  </cols>
  <sheetData>
    <row r="1" spans="1:36" x14ac:dyDescent="0.2">
      <c r="A1" t="s">
        <v>41</v>
      </c>
      <c r="B1" t="s">
        <v>43</v>
      </c>
      <c r="C1" t="s">
        <v>42</v>
      </c>
      <c r="D1" t="s">
        <v>48</v>
      </c>
      <c r="E1" t="s">
        <v>40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R1" s="2" t="s">
        <v>53</v>
      </c>
      <c r="S1" s="2" t="s">
        <v>54</v>
      </c>
      <c r="T1" s="2" t="s">
        <v>55</v>
      </c>
      <c r="U1" s="2" t="s">
        <v>56</v>
      </c>
      <c r="X1" s="2" t="s">
        <v>57</v>
      </c>
      <c r="Y1" s="2" t="s">
        <v>58</v>
      </c>
      <c r="Z1" s="2" t="s">
        <v>59</v>
      </c>
      <c r="AB1" s="2" t="s">
        <v>92</v>
      </c>
      <c r="AC1" s="4" t="s">
        <v>93</v>
      </c>
      <c r="AD1" t="s">
        <v>94</v>
      </c>
      <c r="AE1" t="s">
        <v>95</v>
      </c>
      <c r="AF1" t="s">
        <v>96</v>
      </c>
      <c r="AI1" s="5" t="s">
        <v>97</v>
      </c>
      <c r="AJ1" s="5" t="s">
        <v>98</v>
      </c>
    </row>
    <row r="2" spans="1:36" x14ac:dyDescent="0.2">
      <c r="A2" t="s">
        <v>60</v>
      </c>
      <c r="B2" t="s">
        <v>44</v>
      </c>
      <c r="E2">
        <v>1.17E-3</v>
      </c>
      <c r="F2" t="s">
        <v>11</v>
      </c>
      <c r="G2" s="1">
        <v>45800.578159722223</v>
      </c>
      <c r="H2">
        <v>840.83900000000006</v>
      </c>
      <c r="I2">
        <v>158793.185</v>
      </c>
      <c r="J2">
        <v>1786.7470000000001</v>
      </c>
      <c r="K2">
        <v>2.169</v>
      </c>
      <c r="L2">
        <v>4.1000000000000002E-2</v>
      </c>
      <c r="M2">
        <v>1.4E-2</v>
      </c>
      <c r="N2">
        <v>500</v>
      </c>
      <c r="O2">
        <v>176</v>
      </c>
      <c r="P2">
        <v>223.71299999999999</v>
      </c>
      <c r="X2">
        <f>SLOPE(E2:E10,I2:I10)</f>
        <v>5.218482551002226E-9</v>
      </c>
      <c r="Y2">
        <f>INTERCEPT(E2:E10, I2:I10)</f>
        <v>4.5009968573650645E-4</v>
      </c>
      <c r="Z2">
        <v>2000</v>
      </c>
      <c r="AB2">
        <v>0.9647</v>
      </c>
      <c r="AC2">
        <f>AVERAGE(K2:K10)</f>
        <v>2.2447777777777778</v>
      </c>
      <c r="AD2">
        <f>2*STDEV(K2:K10)</f>
        <v>0.21157924703944331</v>
      </c>
      <c r="AE2">
        <f>COUNT(K2:K10)</f>
        <v>9</v>
      </c>
      <c r="AF2">
        <f>AD2/SQRT(AE2)</f>
        <v>7.0526415679814436E-2</v>
      </c>
      <c r="AH2" s="2" t="s">
        <v>89</v>
      </c>
      <c r="AI2">
        <v>-5.0140000000000002</v>
      </c>
      <c r="AJ2">
        <v>3.5000000000000003E-2</v>
      </c>
    </row>
    <row r="3" spans="1:36" x14ac:dyDescent="0.2">
      <c r="A3" t="s">
        <v>85</v>
      </c>
      <c r="B3" t="s">
        <v>44</v>
      </c>
      <c r="E3">
        <v>1.5299999999999999E-3</v>
      </c>
      <c r="F3" t="s">
        <v>36</v>
      </c>
      <c r="G3" s="1">
        <v>45800.910833333335</v>
      </c>
      <c r="H3">
        <v>965.178</v>
      </c>
      <c r="I3">
        <v>195560.375</v>
      </c>
      <c r="J3">
        <v>2200.5909999999999</v>
      </c>
      <c r="K3">
        <v>2.4470000000000001</v>
      </c>
      <c r="L3">
        <v>0.16500000000000001</v>
      </c>
      <c r="M3">
        <v>1.2999999999999999E-2</v>
      </c>
      <c r="N3">
        <v>500</v>
      </c>
      <c r="O3">
        <v>197</v>
      </c>
      <c r="P3">
        <v>250.3</v>
      </c>
    </row>
    <row r="4" spans="1:36" x14ac:dyDescent="0.2">
      <c r="A4" t="s">
        <v>86</v>
      </c>
      <c r="B4" t="s">
        <v>44</v>
      </c>
      <c r="E4">
        <v>1.9499999999999999E-3</v>
      </c>
      <c r="F4" t="s">
        <v>37</v>
      </c>
      <c r="G4" s="1">
        <v>45800.922951388886</v>
      </c>
      <c r="H4">
        <v>1474.37</v>
      </c>
      <c r="I4">
        <v>350739.46899999998</v>
      </c>
      <c r="J4">
        <v>3944.6579999999999</v>
      </c>
      <c r="K4">
        <v>2.33</v>
      </c>
      <c r="L4">
        <v>3.1920000000000002</v>
      </c>
      <c r="M4">
        <v>0.05</v>
      </c>
      <c r="N4">
        <v>500</v>
      </c>
      <c r="O4">
        <v>259</v>
      </c>
      <c r="P4">
        <v>330.89600000000002</v>
      </c>
      <c r="AH4" s="2" t="s">
        <v>99</v>
      </c>
      <c r="AI4">
        <f>AC2-AI2</f>
        <v>7.2587777777777784</v>
      </c>
      <c r="AJ4">
        <f>SQRT((AF2^2) + (AJ2^2))</f>
        <v>7.8733571674616518E-2</v>
      </c>
    </row>
    <row r="5" spans="1:36" x14ac:dyDescent="0.2">
      <c r="A5" t="s">
        <v>61</v>
      </c>
      <c r="B5" t="s">
        <v>44</v>
      </c>
      <c r="E5">
        <v>2.0200000000000001E-3</v>
      </c>
      <c r="F5" t="s">
        <v>12</v>
      </c>
      <c r="G5" s="1">
        <v>45800.590196759258</v>
      </c>
      <c r="H5">
        <v>1182.32</v>
      </c>
      <c r="I5">
        <v>261409.99</v>
      </c>
      <c r="J5">
        <v>2940.2469999999998</v>
      </c>
      <c r="K5">
        <v>2.2160000000000002</v>
      </c>
      <c r="L5">
        <v>3.2269999999999999</v>
      </c>
      <c r="M5">
        <v>0.05</v>
      </c>
      <c r="N5">
        <v>500</v>
      </c>
      <c r="O5">
        <v>227</v>
      </c>
      <c r="P5">
        <v>289.43799999999999</v>
      </c>
    </row>
    <row r="6" spans="1:36" x14ac:dyDescent="0.2">
      <c r="A6" t="s">
        <v>74</v>
      </c>
      <c r="B6" t="s">
        <v>44</v>
      </c>
      <c r="E6">
        <v>2.3800000000000002E-3</v>
      </c>
      <c r="F6" t="s">
        <v>25</v>
      </c>
      <c r="G6" s="1">
        <v>45800.762453703705</v>
      </c>
      <c r="H6">
        <v>1471.7940000000001</v>
      </c>
      <c r="I6">
        <v>350339.25300000003</v>
      </c>
      <c r="J6">
        <v>3940.01</v>
      </c>
      <c r="K6">
        <v>2.3090000000000002</v>
      </c>
      <c r="L6">
        <v>0.221</v>
      </c>
      <c r="M6">
        <v>1.0999999999999999E-2</v>
      </c>
      <c r="N6">
        <v>500</v>
      </c>
      <c r="O6">
        <v>260</v>
      </c>
      <c r="P6">
        <v>331.91899999999998</v>
      </c>
    </row>
    <row r="7" spans="1:36" x14ac:dyDescent="0.2">
      <c r="A7" t="s">
        <v>87</v>
      </c>
      <c r="B7" t="s">
        <v>44</v>
      </c>
      <c r="E7">
        <v>3.0000000000000001E-3</v>
      </c>
      <c r="F7" t="s">
        <v>38</v>
      </c>
      <c r="G7" s="1">
        <v>45800.934930555559</v>
      </c>
      <c r="H7">
        <v>2006.626</v>
      </c>
      <c r="I7">
        <v>512994.56599999999</v>
      </c>
      <c r="J7">
        <v>5767.6930000000002</v>
      </c>
      <c r="K7">
        <v>2.2629999999999999</v>
      </c>
      <c r="L7">
        <v>5.0919999999999996</v>
      </c>
      <c r="M7">
        <v>7.0999999999999994E-2</v>
      </c>
      <c r="N7">
        <v>500</v>
      </c>
      <c r="O7">
        <v>302</v>
      </c>
      <c r="P7">
        <v>384.76499999999999</v>
      </c>
    </row>
    <row r="8" spans="1:36" x14ac:dyDescent="0.2">
      <c r="A8" t="s">
        <v>62</v>
      </c>
      <c r="B8" t="s">
        <v>44</v>
      </c>
      <c r="E8">
        <v>3.6099999999999999E-3</v>
      </c>
      <c r="F8" t="s">
        <v>13</v>
      </c>
      <c r="G8" s="1">
        <v>45800.602627314816</v>
      </c>
      <c r="H8">
        <v>2105.3560000000002</v>
      </c>
      <c r="I8">
        <v>551917.97699999996</v>
      </c>
      <c r="J8">
        <v>6204.0129999999999</v>
      </c>
      <c r="K8">
        <v>2.12</v>
      </c>
      <c r="L8">
        <v>4.734</v>
      </c>
      <c r="M8">
        <v>6.6000000000000003E-2</v>
      </c>
      <c r="N8">
        <v>500</v>
      </c>
      <c r="O8">
        <v>312</v>
      </c>
      <c r="P8">
        <v>399.72899999999998</v>
      </c>
    </row>
    <row r="9" spans="1:36" x14ac:dyDescent="0.2">
      <c r="A9" t="s">
        <v>63</v>
      </c>
      <c r="B9" t="s">
        <v>44</v>
      </c>
      <c r="E9">
        <v>3.9199999999999999E-3</v>
      </c>
      <c r="F9" t="s">
        <v>14</v>
      </c>
      <c r="G9" s="1">
        <v>45800.614328703705</v>
      </c>
      <c r="H9">
        <v>2485.3960000000002</v>
      </c>
      <c r="I9">
        <v>664880.03899999999</v>
      </c>
      <c r="J9">
        <v>7473.1469999999999</v>
      </c>
      <c r="K9">
        <v>2.125</v>
      </c>
      <c r="L9">
        <v>9.5069999999999997</v>
      </c>
      <c r="M9">
        <v>0.12</v>
      </c>
      <c r="N9">
        <v>500</v>
      </c>
      <c r="O9">
        <v>332</v>
      </c>
      <c r="P9">
        <v>424.262</v>
      </c>
    </row>
    <row r="10" spans="1:36" x14ac:dyDescent="0.2">
      <c r="A10" t="s">
        <v>88</v>
      </c>
      <c r="B10" t="s">
        <v>44</v>
      </c>
      <c r="E10">
        <v>4.0800000000000003E-3</v>
      </c>
      <c r="F10" t="s">
        <v>39</v>
      </c>
      <c r="G10" s="1">
        <v>45800.946770833332</v>
      </c>
      <c r="H10">
        <v>2699.76</v>
      </c>
      <c r="I10">
        <v>710990.59299999999</v>
      </c>
      <c r="J10">
        <v>7991.8860000000004</v>
      </c>
      <c r="K10">
        <v>2.2240000000000002</v>
      </c>
      <c r="L10">
        <v>7.383</v>
      </c>
      <c r="M10">
        <v>9.6000000000000002E-2</v>
      </c>
      <c r="N10">
        <v>500</v>
      </c>
      <c r="O10">
        <v>334</v>
      </c>
      <c r="P10">
        <v>426.43099999999998</v>
      </c>
    </row>
    <row r="11" spans="1:36" x14ac:dyDescent="0.2">
      <c r="A11" t="s">
        <v>64</v>
      </c>
      <c r="B11" t="s">
        <v>45</v>
      </c>
      <c r="C11">
        <v>3</v>
      </c>
      <c r="D11" t="s">
        <v>47</v>
      </c>
      <c r="E11">
        <v>3.81E-3</v>
      </c>
      <c r="F11" t="s">
        <v>15</v>
      </c>
      <c r="G11" s="1">
        <v>45800.636678240742</v>
      </c>
      <c r="H11">
        <v>1885.2919999999999</v>
      </c>
      <c r="I11">
        <v>477249.82699999999</v>
      </c>
      <c r="J11">
        <v>5396.9359999999997</v>
      </c>
      <c r="K11">
        <v>7.9820000000000002</v>
      </c>
      <c r="L11">
        <v>0.11899999999999999</v>
      </c>
      <c r="M11">
        <v>1.4999999999999999E-2</v>
      </c>
      <c r="N11">
        <v>500</v>
      </c>
      <c r="O11">
        <v>293</v>
      </c>
      <c r="P11">
        <v>374.94400000000002</v>
      </c>
      <c r="R11">
        <f>I11*X$2+Y$2</f>
        <v>2.9406195804048373E-3</v>
      </c>
      <c r="S11">
        <f t="shared" ref="S11:S30" si="0">R11/E11</f>
        <v>0.77181616283591525</v>
      </c>
      <c r="T11">
        <f t="shared" ref="T11:T30" si="1">S11*100</f>
        <v>77.181616283591524</v>
      </c>
      <c r="U11">
        <f t="shared" ref="U11:U30" si="2">H11/E11</f>
        <v>494827.29658792651</v>
      </c>
      <c r="V11">
        <f>K11-AI$4</f>
        <v>0.72322222222222177</v>
      </c>
      <c r="W11" s="6">
        <f>SQRT(AF$2^2 +AJ$4^ 2)</f>
        <v>0.10570217886724924</v>
      </c>
    </row>
    <row r="12" spans="1:36" x14ac:dyDescent="0.2">
      <c r="A12" t="s">
        <v>69</v>
      </c>
      <c r="B12" t="s">
        <v>45</v>
      </c>
      <c r="C12">
        <v>3</v>
      </c>
      <c r="D12" t="s">
        <v>52</v>
      </c>
      <c r="E12">
        <v>3.9699999999999996E-3</v>
      </c>
      <c r="F12" t="s">
        <v>20</v>
      </c>
      <c r="G12" s="1">
        <v>45800.693368055552</v>
      </c>
      <c r="H12">
        <v>1327.883</v>
      </c>
      <c r="I12">
        <v>303447.97700000001</v>
      </c>
      <c r="J12">
        <v>3427.3319999999999</v>
      </c>
      <c r="K12">
        <v>6.4539999999999997</v>
      </c>
      <c r="L12">
        <v>3.8919999999999999</v>
      </c>
      <c r="M12">
        <v>5.7000000000000002E-2</v>
      </c>
      <c r="N12">
        <v>500</v>
      </c>
      <c r="O12">
        <v>242</v>
      </c>
      <c r="P12">
        <v>308.87599999999998</v>
      </c>
      <c r="R12">
        <f t="shared" ref="R12:R30" si="3">I12*X$2+Y$2</f>
        <v>2.0336376588479315E-3</v>
      </c>
      <c r="S12">
        <f t="shared" si="0"/>
        <v>0.51225129945791736</v>
      </c>
      <c r="T12">
        <f>S12*100</f>
        <v>51.225129945791736</v>
      </c>
      <c r="U12">
        <f t="shared" si="2"/>
        <v>334479.34508816124</v>
      </c>
      <c r="V12">
        <f t="shared" ref="V12:V30" si="4">K12-AI$4</f>
        <v>-0.8047777777777787</v>
      </c>
      <c r="W12" s="6">
        <f t="shared" ref="W12:W30" si="5">SQRT(AF$2^2 +AJ$4^ 2)</f>
        <v>0.10570217886724924</v>
      </c>
    </row>
    <row r="13" spans="1:36" x14ac:dyDescent="0.2">
      <c r="A13" t="s">
        <v>82</v>
      </c>
      <c r="B13" t="s">
        <v>45</v>
      </c>
      <c r="C13">
        <v>3</v>
      </c>
      <c r="D13" t="s">
        <v>49</v>
      </c>
      <c r="E13">
        <v>3.9699999999999996E-3</v>
      </c>
      <c r="F13" t="s">
        <v>33</v>
      </c>
      <c r="G13" s="1">
        <v>45800.865833333337</v>
      </c>
      <c r="H13">
        <v>1698.4670000000001</v>
      </c>
      <c r="I13">
        <v>422929.27399999998</v>
      </c>
      <c r="J13">
        <v>4782.924</v>
      </c>
      <c r="K13">
        <v>7.96</v>
      </c>
      <c r="L13">
        <v>5.101</v>
      </c>
      <c r="M13">
        <v>7.0000000000000007E-2</v>
      </c>
      <c r="N13">
        <v>500</v>
      </c>
      <c r="O13">
        <v>280</v>
      </c>
      <c r="P13">
        <v>358.43</v>
      </c>
      <c r="R13">
        <f t="shared" si="3"/>
        <v>2.6571487224135459E-3</v>
      </c>
      <c r="S13">
        <f t="shared" si="0"/>
        <v>0.66930698297570435</v>
      </c>
      <c r="T13">
        <f t="shared" si="1"/>
        <v>66.93069829757043</v>
      </c>
      <c r="U13">
        <f t="shared" si="2"/>
        <v>427825.44080604543</v>
      </c>
      <c r="V13">
        <f t="shared" si="4"/>
        <v>0.70122222222222153</v>
      </c>
      <c r="W13" s="6">
        <f t="shared" si="5"/>
        <v>0.10570217886724924</v>
      </c>
    </row>
    <row r="14" spans="1:36" x14ac:dyDescent="0.2">
      <c r="A14" t="s">
        <v>78</v>
      </c>
      <c r="B14" t="s">
        <v>45</v>
      </c>
      <c r="C14">
        <v>3</v>
      </c>
      <c r="D14" t="s">
        <v>51</v>
      </c>
      <c r="E14">
        <v>4.2700000000000004E-3</v>
      </c>
      <c r="F14" t="s">
        <v>29</v>
      </c>
      <c r="G14" s="1">
        <v>45800.818993055553</v>
      </c>
      <c r="H14">
        <v>953.60799999999995</v>
      </c>
      <c r="I14">
        <v>191311.60200000001</v>
      </c>
      <c r="J14">
        <v>2161.873</v>
      </c>
      <c r="K14">
        <v>6.609</v>
      </c>
      <c r="L14">
        <v>5.101</v>
      </c>
      <c r="M14">
        <v>7.0000000000000007E-2</v>
      </c>
      <c r="N14">
        <v>500</v>
      </c>
      <c r="O14">
        <v>193</v>
      </c>
      <c r="P14">
        <v>246.36</v>
      </c>
      <c r="R14">
        <f t="shared" si="3"/>
        <v>1.448455942577789E-3</v>
      </c>
      <c r="S14">
        <f t="shared" si="0"/>
        <v>0.33921684837887328</v>
      </c>
      <c r="T14">
        <f t="shared" si="1"/>
        <v>33.921684837887327</v>
      </c>
      <c r="U14">
        <f t="shared" si="2"/>
        <v>223327.40046838403</v>
      </c>
      <c r="V14">
        <f t="shared" si="4"/>
        <v>-0.64977777777777845</v>
      </c>
      <c r="W14" s="6">
        <f t="shared" si="5"/>
        <v>0.10570217886724924</v>
      </c>
    </row>
    <row r="15" spans="1:36" x14ac:dyDescent="0.2">
      <c r="A15" t="s">
        <v>79</v>
      </c>
      <c r="B15" t="s">
        <v>45</v>
      </c>
      <c r="C15">
        <v>4</v>
      </c>
      <c r="D15" t="s">
        <v>49</v>
      </c>
      <c r="E15">
        <v>2.0500000000000002E-3</v>
      </c>
      <c r="F15" t="s">
        <v>30</v>
      </c>
      <c r="G15" s="1">
        <v>45800.830995370372</v>
      </c>
      <c r="H15">
        <v>1281.1790000000001</v>
      </c>
      <c r="I15">
        <v>290875.25199999998</v>
      </c>
      <c r="J15">
        <v>3289.5929999999998</v>
      </c>
      <c r="K15">
        <v>7.7359999999999998</v>
      </c>
      <c r="L15">
        <v>3.1920000000000002</v>
      </c>
      <c r="M15">
        <v>4.9000000000000002E-2</v>
      </c>
      <c r="N15">
        <v>500</v>
      </c>
      <c r="O15">
        <v>238</v>
      </c>
      <c r="P15">
        <v>304.11799999999999</v>
      </c>
      <c r="R15">
        <f t="shared" si="3"/>
        <v>1.9680271128168815E-3</v>
      </c>
      <c r="S15">
        <f t="shared" si="0"/>
        <v>0.96001322576433235</v>
      </c>
      <c r="T15">
        <f t="shared" si="1"/>
        <v>96.001322576433239</v>
      </c>
      <c r="U15">
        <f t="shared" si="2"/>
        <v>624965.36585365853</v>
      </c>
      <c r="V15">
        <f t="shared" si="4"/>
        <v>0.47722222222222133</v>
      </c>
      <c r="W15" s="6">
        <f t="shared" si="5"/>
        <v>0.10570217886724924</v>
      </c>
    </row>
    <row r="16" spans="1:36" x14ac:dyDescent="0.2">
      <c r="A16" t="s">
        <v>65</v>
      </c>
      <c r="B16" t="s">
        <v>45</v>
      </c>
      <c r="C16">
        <v>4</v>
      </c>
      <c r="D16" t="s">
        <v>46</v>
      </c>
      <c r="E16">
        <v>2.1099999999999999E-3</v>
      </c>
      <c r="F16" t="s">
        <v>16</v>
      </c>
      <c r="G16" s="1">
        <v>45800.646956018521</v>
      </c>
      <c r="H16">
        <v>961.14499999999998</v>
      </c>
      <c r="I16">
        <v>192331.851</v>
      </c>
      <c r="J16">
        <v>2170.6489999999999</v>
      </c>
      <c r="K16">
        <v>5.3639999999999999</v>
      </c>
      <c r="L16">
        <v>7.0750000000000002</v>
      </c>
      <c r="M16">
        <v>9.1999999999999998E-2</v>
      </c>
      <c r="N16">
        <v>500</v>
      </c>
      <c r="O16">
        <v>194</v>
      </c>
      <c r="P16">
        <v>246.30099999999999</v>
      </c>
      <c r="R16">
        <f t="shared" si="3"/>
        <v>1.4537800941819665E-3</v>
      </c>
      <c r="S16">
        <f t="shared" si="0"/>
        <v>0.68899530529951025</v>
      </c>
      <c r="T16">
        <f t="shared" si="1"/>
        <v>68.899530529951022</v>
      </c>
      <c r="U16">
        <f t="shared" si="2"/>
        <v>455518.9573459716</v>
      </c>
      <c r="V16">
        <f t="shared" si="4"/>
        <v>-1.8947777777777786</v>
      </c>
      <c r="W16" s="6">
        <f t="shared" si="5"/>
        <v>0.10570217886724924</v>
      </c>
    </row>
    <row r="17" spans="1:23" x14ac:dyDescent="0.2">
      <c r="A17" t="s">
        <v>75</v>
      </c>
      <c r="B17" t="s">
        <v>45</v>
      </c>
      <c r="C17">
        <v>4</v>
      </c>
      <c r="D17" t="s">
        <v>51</v>
      </c>
      <c r="E17">
        <v>2.2100000000000002E-3</v>
      </c>
      <c r="F17" t="s">
        <v>26</v>
      </c>
      <c r="G17" s="1">
        <v>45800.784675925926</v>
      </c>
      <c r="H17">
        <v>983.47699999999998</v>
      </c>
      <c r="I17">
        <v>202023.71400000001</v>
      </c>
      <c r="J17">
        <v>2281.6729999999998</v>
      </c>
      <c r="K17">
        <v>6.0670000000000002</v>
      </c>
      <c r="L17">
        <v>0.28100000000000003</v>
      </c>
      <c r="M17">
        <v>8.9999999999999993E-3</v>
      </c>
      <c r="N17">
        <v>500</v>
      </c>
      <c r="O17">
        <v>200</v>
      </c>
      <c r="P17">
        <v>254.72900000000001</v>
      </c>
      <c r="R17">
        <f t="shared" si="3"/>
        <v>1.5043569121341706E-3</v>
      </c>
      <c r="S17">
        <f t="shared" si="0"/>
        <v>0.68070448512858395</v>
      </c>
      <c r="T17">
        <f t="shared" si="1"/>
        <v>68.070448512858391</v>
      </c>
      <c r="U17">
        <f t="shared" si="2"/>
        <v>445012.21719457011</v>
      </c>
      <c r="V17">
        <f t="shared" si="4"/>
        <v>-1.1917777777777783</v>
      </c>
      <c r="W17" s="6">
        <f t="shared" si="5"/>
        <v>0.10570217886724924</v>
      </c>
    </row>
    <row r="18" spans="1:23" x14ac:dyDescent="0.2">
      <c r="A18" t="s">
        <v>71</v>
      </c>
      <c r="B18" t="s">
        <v>45</v>
      </c>
      <c r="C18">
        <v>4</v>
      </c>
      <c r="D18" t="s">
        <v>50</v>
      </c>
      <c r="E18">
        <v>2.5500000000000002E-3</v>
      </c>
      <c r="F18" t="s">
        <v>22</v>
      </c>
      <c r="G18" s="1">
        <v>45800.71638888889</v>
      </c>
      <c r="H18">
        <v>1373.48</v>
      </c>
      <c r="I18">
        <v>318794.28399999999</v>
      </c>
      <c r="J18">
        <v>3602.924</v>
      </c>
      <c r="K18">
        <v>7.1360000000000001</v>
      </c>
      <c r="L18">
        <v>1.8640000000000001</v>
      </c>
      <c r="M18">
        <v>3.4000000000000002E-2</v>
      </c>
      <c r="N18">
        <v>500</v>
      </c>
      <c r="O18">
        <v>248</v>
      </c>
      <c r="P18">
        <v>316.29300000000001</v>
      </c>
      <c r="R18">
        <f t="shared" si="3"/>
        <v>2.1137220941497546E-3</v>
      </c>
      <c r="S18">
        <f t="shared" si="0"/>
        <v>0.82891062515676639</v>
      </c>
      <c r="T18">
        <f t="shared" si="1"/>
        <v>82.891062515676637</v>
      </c>
      <c r="U18">
        <f t="shared" si="2"/>
        <v>538619.60784313723</v>
      </c>
      <c r="V18">
        <f t="shared" si="4"/>
        <v>-0.12277777777777832</v>
      </c>
      <c r="W18" s="6">
        <f t="shared" si="5"/>
        <v>0.10570217886724924</v>
      </c>
    </row>
    <row r="19" spans="1:23" x14ac:dyDescent="0.2">
      <c r="A19" t="s">
        <v>70</v>
      </c>
      <c r="B19" t="s">
        <v>45</v>
      </c>
      <c r="C19">
        <v>6</v>
      </c>
      <c r="D19" t="s">
        <v>52</v>
      </c>
      <c r="E19">
        <v>2.0699999999999998E-3</v>
      </c>
      <c r="F19" t="s">
        <v>21</v>
      </c>
      <c r="G19" s="1">
        <v>45800.703298611108</v>
      </c>
      <c r="H19">
        <v>588.56100000000004</v>
      </c>
      <c r="I19">
        <v>66708.441999999995</v>
      </c>
      <c r="J19">
        <v>754.14400000000001</v>
      </c>
      <c r="K19">
        <v>6.3849999999999998</v>
      </c>
      <c r="L19">
        <v>4.5270000000000001</v>
      </c>
      <c r="M19">
        <v>6.6000000000000003E-2</v>
      </c>
      <c r="N19">
        <v>500</v>
      </c>
      <c r="O19">
        <v>95</v>
      </c>
      <c r="P19">
        <v>119.712</v>
      </c>
      <c r="R19">
        <f t="shared" si="3"/>
        <v>7.9821652631805048E-4</v>
      </c>
      <c r="S19">
        <f t="shared" si="0"/>
        <v>0.38561184846282637</v>
      </c>
      <c r="T19">
        <f t="shared" si="1"/>
        <v>38.561184846282636</v>
      </c>
      <c r="U19">
        <f t="shared" si="2"/>
        <v>284328.9855072464</v>
      </c>
      <c r="V19">
        <f t="shared" si="4"/>
        <v>-0.87377777777777865</v>
      </c>
      <c r="W19" s="6">
        <f t="shared" si="5"/>
        <v>0.10570217886724924</v>
      </c>
    </row>
    <row r="20" spans="1:23" x14ac:dyDescent="0.2">
      <c r="A20" t="s">
        <v>67</v>
      </c>
      <c r="B20" t="s">
        <v>45</v>
      </c>
      <c r="C20">
        <v>6</v>
      </c>
      <c r="D20" t="s">
        <v>50</v>
      </c>
      <c r="E20">
        <v>2.3999999999999998E-3</v>
      </c>
      <c r="F20" t="s">
        <v>18</v>
      </c>
      <c r="G20" s="1">
        <v>45800.670497685183</v>
      </c>
      <c r="H20">
        <v>1356.8340000000001</v>
      </c>
      <c r="I20">
        <v>311163.96899999998</v>
      </c>
      <c r="J20">
        <v>3516.7130000000002</v>
      </c>
      <c r="K20">
        <v>7.0880000000000001</v>
      </c>
      <c r="L20">
        <v>4.0439999999999996</v>
      </c>
      <c r="M20">
        <v>0.06</v>
      </c>
      <c r="N20">
        <v>500</v>
      </c>
      <c r="O20">
        <v>245</v>
      </c>
      <c r="P20">
        <v>312.44200000000001</v>
      </c>
      <c r="R20">
        <f t="shared" si="3"/>
        <v>2.0739034284636042E-3</v>
      </c>
      <c r="S20">
        <f t="shared" si="0"/>
        <v>0.86412642852650179</v>
      </c>
      <c r="T20">
        <f t="shared" si="1"/>
        <v>86.41264285265018</v>
      </c>
      <c r="U20">
        <f t="shared" si="2"/>
        <v>565347.50000000012</v>
      </c>
      <c r="V20">
        <f t="shared" si="4"/>
        <v>-0.17077777777777836</v>
      </c>
      <c r="W20" s="6">
        <f t="shared" si="5"/>
        <v>0.10570217886724924</v>
      </c>
    </row>
    <row r="21" spans="1:23" x14ac:dyDescent="0.2">
      <c r="A21" t="s">
        <v>77</v>
      </c>
      <c r="B21" t="s">
        <v>45</v>
      </c>
      <c r="C21">
        <v>6</v>
      </c>
      <c r="D21" t="s">
        <v>49</v>
      </c>
      <c r="E21">
        <v>2.5500000000000002E-3</v>
      </c>
      <c r="F21" t="s">
        <v>28</v>
      </c>
      <c r="G21" s="1">
        <v>45800.808240740742</v>
      </c>
      <c r="H21">
        <v>1443.5219999999999</v>
      </c>
      <c r="I21">
        <v>340551.359</v>
      </c>
      <c r="J21">
        <v>3853.1190000000001</v>
      </c>
      <c r="K21">
        <v>8.2899999999999991</v>
      </c>
      <c r="L21">
        <v>5.984</v>
      </c>
      <c r="M21">
        <v>8.2000000000000003E-2</v>
      </c>
      <c r="N21">
        <v>500</v>
      </c>
      <c r="O21">
        <v>255</v>
      </c>
      <c r="P21">
        <v>325.245</v>
      </c>
      <c r="R21">
        <f t="shared" si="3"/>
        <v>2.2272610103981011E-3</v>
      </c>
      <c r="S21">
        <f t="shared" si="0"/>
        <v>0.87343569035219648</v>
      </c>
      <c r="T21">
        <f t="shared" si="1"/>
        <v>87.343569035219645</v>
      </c>
      <c r="U21">
        <f t="shared" si="2"/>
        <v>566087.0588235294</v>
      </c>
      <c r="V21">
        <f t="shared" si="4"/>
        <v>1.0312222222222207</v>
      </c>
      <c r="W21" s="6">
        <f t="shared" si="5"/>
        <v>0.10570217886724924</v>
      </c>
    </row>
    <row r="22" spans="1:23" x14ac:dyDescent="0.2">
      <c r="A22" t="s">
        <v>84</v>
      </c>
      <c r="B22" t="s">
        <v>45</v>
      </c>
      <c r="C22">
        <v>6</v>
      </c>
      <c r="D22" t="s">
        <v>51</v>
      </c>
      <c r="E22">
        <v>2.5600000000000002E-3</v>
      </c>
      <c r="F22" t="s">
        <v>35</v>
      </c>
      <c r="G22" s="1">
        <v>45800.888599537036</v>
      </c>
      <c r="H22">
        <v>1509.624</v>
      </c>
      <c r="I22">
        <v>362346.32299999997</v>
      </c>
      <c r="J22">
        <v>4093.9270000000001</v>
      </c>
      <c r="K22">
        <v>6.92</v>
      </c>
      <c r="L22">
        <v>5.8019999999999996</v>
      </c>
      <c r="M22">
        <v>8.1000000000000003E-2</v>
      </c>
      <c r="N22">
        <v>500</v>
      </c>
      <c r="O22">
        <v>263</v>
      </c>
      <c r="P22">
        <v>335.93900000000002</v>
      </c>
      <c r="R22">
        <f t="shared" si="3"/>
        <v>2.3409976497318231E-3</v>
      </c>
      <c r="S22">
        <f t="shared" si="0"/>
        <v>0.91445220692649332</v>
      </c>
      <c r="T22">
        <f t="shared" si="1"/>
        <v>91.445220692649329</v>
      </c>
      <c r="U22">
        <f t="shared" si="2"/>
        <v>589696.875</v>
      </c>
      <c r="V22">
        <f t="shared" si="4"/>
        <v>-0.33877777777777851</v>
      </c>
      <c r="W22" s="6">
        <f t="shared" si="5"/>
        <v>0.10570217886724924</v>
      </c>
    </row>
    <row r="23" spans="1:23" x14ac:dyDescent="0.2">
      <c r="A23" t="s">
        <v>73</v>
      </c>
      <c r="B23" t="s">
        <v>45</v>
      </c>
      <c r="C23">
        <v>8</v>
      </c>
      <c r="D23" t="s">
        <v>50</v>
      </c>
      <c r="E23">
        <v>2.5300000000000001E-3</v>
      </c>
      <c r="F23" t="s">
        <v>24</v>
      </c>
      <c r="G23" s="1">
        <v>45800.739374999997</v>
      </c>
      <c r="H23">
        <v>1434.6659999999999</v>
      </c>
      <c r="I23">
        <v>334882.11200000002</v>
      </c>
      <c r="J23">
        <v>3786.125</v>
      </c>
      <c r="K23">
        <v>7.5279999999999996</v>
      </c>
      <c r="L23">
        <v>3.492</v>
      </c>
      <c r="M23">
        <v>5.2999999999999999E-2</v>
      </c>
      <c r="N23">
        <v>500</v>
      </c>
      <c r="O23">
        <v>253</v>
      </c>
      <c r="P23">
        <v>323.01799999999997</v>
      </c>
      <c r="R23">
        <f t="shared" si="3"/>
        <v>2.1976761438512798E-3</v>
      </c>
      <c r="S23">
        <f t="shared" si="0"/>
        <v>0.86864669717441889</v>
      </c>
      <c r="T23">
        <f t="shared" si="1"/>
        <v>86.864669717441885</v>
      </c>
      <c r="U23">
        <f t="shared" si="2"/>
        <v>567061.66007905127</v>
      </c>
      <c r="V23">
        <f t="shared" si="4"/>
        <v>0.26922222222222114</v>
      </c>
      <c r="W23" s="6">
        <f t="shared" si="5"/>
        <v>0.10570217886724924</v>
      </c>
    </row>
    <row r="24" spans="1:23" x14ac:dyDescent="0.2">
      <c r="A24" t="s">
        <v>81</v>
      </c>
      <c r="B24" t="s">
        <v>45</v>
      </c>
      <c r="C24">
        <v>8</v>
      </c>
      <c r="D24" t="s">
        <v>52</v>
      </c>
      <c r="E24">
        <v>2.64E-3</v>
      </c>
      <c r="F24" t="s">
        <v>32</v>
      </c>
      <c r="G24" s="1">
        <v>45800.854131944441</v>
      </c>
      <c r="H24">
        <v>1495.6959999999999</v>
      </c>
      <c r="I24">
        <v>351567.52100000001</v>
      </c>
      <c r="J24">
        <v>3973.4589999999998</v>
      </c>
      <c r="K24">
        <v>7.234</v>
      </c>
      <c r="L24">
        <v>5.2610000000000001</v>
      </c>
      <c r="M24">
        <v>7.2999999999999995E-2</v>
      </c>
      <c r="N24">
        <v>500</v>
      </c>
      <c r="O24">
        <v>257</v>
      </c>
      <c r="P24">
        <v>328.10300000000001</v>
      </c>
      <c r="R24">
        <f t="shared" si="3"/>
        <v>2.2847486595741155E-3</v>
      </c>
      <c r="S24">
        <f t="shared" si="0"/>
        <v>0.86543509832352861</v>
      </c>
      <c r="T24">
        <f t="shared" si="1"/>
        <v>86.543509832352868</v>
      </c>
      <c r="U24">
        <f t="shared" si="2"/>
        <v>566551.51515151514</v>
      </c>
      <c r="V24">
        <f t="shared" si="4"/>
        <v>-2.4777777777778454E-2</v>
      </c>
      <c r="W24" s="6">
        <f t="shared" si="5"/>
        <v>0.10570217886724924</v>
      </c>
    </row>
    <row r="25" spans="1:23" x14ac:dyDescent="0.2">
      <c r="A25" t="s">
        <v>76</v>
      </c>
      <c r="B25" t="s">
        <v>45</v>
      </c>
      <c r="C25">
        <v>8</v>
      </c>
      <c r="D25" t="s">
        <v>51</v>
      </c>
      <c r="E25">
        <v>2.7100000000000002E-3</v>
      </c>
      <c r="F25" t="s">
        <v>27</v>
      </c>
      <c r="G25" s="1">
        <v>45800.797025462962</v>
      </c>
      <c r="H25">
        <v>1621.011</v>
      </c>
      <c r="I25">
        <v>395626.435</v>
      </c>
      <c r="J25">
        <v>4469.8389999999999</v>
      </c>
      <c r="K25">
        <v>6.944</v>
      </c>
      <c r="L25">
        <v>3.2450000000000001</v>
      </c>
      <c r="M25">
        <v>0.05</v>
      </c>
      <c r="N25">
        <v>500</v>
      </c>
      <c r="O25">
        <v>272</v>
      </c>
      <c r="P25">
        <v>348.04500000000002</v>
      </c>
      <c r="R25">
        <f t="shared" si="3"/>
        <v>2.5146693334992228E-3</v>
      </c>
      <c r="S25">
        <f t="shared" si="0"/>
        <v>0.92792226328384597</v>
      </c>
      <c r="T25">
        <f t="shared" si="1"/>
        <v>92.792226328384601</v>
      </c>
      <c r="U25">
        <f t="shared" si="2"/>
        <v>598159.04059040581</v>
      </c>
      <c r="V25">
        <f t="shared" si="4"/>
        <v>-0.31477777777777849</v>
      </c>
      <c r="W25" s="6">
        <f t="shared" si="5"/>
        <v>0.10570217886724924</v>
      </c>
    </row>
    <row r="26" spans="1:23" x14ac:dyDescent="0.2">
      <c r="A26" t="s">
        <v>66</v>
      </c>
      <c r="B26" t="s">
        <v>45</v>
      </c>
      <c r="C26">
        <v>8</v>
      </c>
      <c r="D26" t="s">
        <v>49</v>
      </c>
      <c r="E26">
        <v>3.13E-3</v>
      </c>
      <c r="F26" t="s">
        <v>17</v>
      </c>
      <c r="G26" s="1">
        <v>45800.658773148149</v>
      </c>
      <c r="H26">
        <v>1158.701</v>
      </c>
      <c r="I26">
        <v>254669.19</v>
      </c>
      <c r="J26">
        <v>2881.3719999999998</v>
      </c>
      <c r="K26">
        <v>8.077</v>
      </c>
      <c r="L26">
        <v>3.3090000000000002</v>
      </c>
      <c r="M26">
        <v>4.9000000000000002E-2</v>
      </c>
      <c r="N26">
        <v>500</v>
      </c>
      <c r="O26">
        <v>224</v>
      </c>
      <c r="P26">
        <v>285.78800000000001</v>
      </c>
      <c r="R26">
        <f t="shared" si="3"/>
        <v>1.779086410029377E-3</v>
      </c>
      <c r="S26">
        <f t="shared" si="0"/>
        <v>0.56839821406689361</v>
      </c>
      <c r="T26">
        <f t="shared" si="1"/>
        <v>56.83982140668936</v>
      </c>
      <c r="U26">
        <f t="shared" si="2"/>
        <v>370192.01277955272</v>
      </c>
      <c r="V26">
        <f t="shared" si="4"/>
        <v>0.81822222222222152</v>
      </c>
      <c r="W26" s="6">
        <f t="shared" si="5"/>
        <v>0.10570217886724924</v>
      </c>
    </row>
    <row r="27" spans="1:23" x14ac:dyDescent="0.2">
      <c r="A27" t="s">
        <v>80</v>
      </c>
      <c r="B27" t="s">
        <v>45</v>
      </c>
      <c r="C27">
        <v>9</v>
      </c>
      <c r="D27" t="s">
        <v>52</v>
      </c>
      <c r="E27">
        <v>3.2100000000000002E-3</v>
      </c>
      <c r="F27" t="s">
        <v>31</v>
      </c>
      <c r="G27" s="1">
        <v>45800.84269675926</v>
      </c>
      <c r="H27">
        <v>1506.384</v>
      </c>
      <c r="I27">
        <v>357608.74699999997</v>
      </c>
      <c r="J27">
        <v>4040.84</v>
      </c>
      <c r="K27">
        <v>7.0270000000000001</v>
      </c>
      <c r="L27">
        <v>4.4160000000000004</v>
      </c>
      <c r="M27">
        <v>6.4000000000000001E-2</v>
      </c>
      <c r="N27">
        <v>500</v>
      </c>
      <c r="O27">
        <v>260</v>
      </c>
      <c r="P27">
        <v>332.06299999999999</v>
      </c>
      <c r="R27">
        <f t="shared" si="3"/>
        <v>2.316274692041776E-3</v>
      </c>
      <c r="S27">
        <f t="shared" si="0"/>
        <v>0.72158090094759375</v>
      </c>
      <c r="T27">
        <f t="shared" si="1"/>
        <v>72.158090094759373</v>
      </c>
      <c r="U27">
        <f t="shared" si="2"/>
        <v>469278.50467289716</v>
      </c>
      <c r="V27">
        <f t="shared" si="4"/>
        <v>-0.2317777777777783</v>
      </c>
      <c r="W27" s="6">
        <f t="shared" si="5"/>
        <v>0.10570217886724924</v>
      </c>
    </row>
    <row r="28" spans="1:23" x14ac:dyDescent="0.2">
      <c r="A28" t="s">
        <v>83</v>
      </c>
      <c r="B28" t="s">
        <v>45</v>
      </c>
      <c r="C28">
        <v>9</v>
      </c>
      <c r="D28" t="s">
        <v>50</v>
      </c>
      <c r="E28">
        <v>3.2499999999999999E-3</v>
      </c>
      <c r="F28" t="s">
        <v>34</v>
      </c>
      <c r="G28" s="1">
        <v>45800.877222222225</v>
      </c>
      <c r="H28">
        <v>1623.211</v>
      </c>
      <c r="I28">
        <v>393349.21799999999</v>
      </c>
      <c r="J28">
        <v>4446.076</v>
      </c>
      <c r="K28">
        <v>7.3869999999999996</v>
      </c>
      <c r="L28">
        <v>6.1909999999999998</v>
      </c>
      <c r="M28">
        <v>8.4000000000000005E-2</v>
      </c>
      <c r="N28">
        <v>500</v>
      </c>
      <c r="O28">
        <v>271</v>
      </c>
      <c r="P28">
        <v>346.07499999999999</v>
      </c>
      <c r="R28">
        <f t="shared" si="3"/>
        <v>2.5027857163198771E-3</v>
      </c>
      <c r="S28">
        <f t="shared" si="0"/>
        <v>0.77008791271380839</v>
      </c>
      <c r="T28">
        <f t="shared" si="1"/>
        <v>77.008791271380844</v>
      </c>
      <c r="U28">
        <f t="shared" si="2"/>
        <v>499449.5384615385</v>
      </c>
      <c r="V28">
        <f t="shared" si="4"/>
        <v>0.12822222222222113</v>
      </c>
      <c r="W28" s="6">
        <f t="shared" si="5"/>
        <v>0.10570217886724924</v>
      </c>
    </row>
    <row r="29" spans="1:23" x14ac:dyDescent="0.2">
      <c r="A29" t="s">
        <v>72</v>
      </c>
      <c r="B29" t="s">
        <v>45</v>
      </c>
      <c r="C29">
        <v>9</v>
      </c>
      <c r="D29" t="s">
        <v>49</v>
      </c>
      <c r="E29">
        <v>3.2799999999999999E-3</v>
      </c>
      <c r="F29" t="s">
        <v>23</v>
      </c>
      <c r="G29" s="1">
        <v>45800.727384259262</v>
      </c>
      <c r="H29">
        <v>1014.23</v>
      </c>
      <c r="I29">
        <v>212008.065</v>
      </c>
      <c r="J29">
        <v>2398.1509999999998</v>
      </c>
      <c r="K29">
        <v>7.6980000000000004</v>
      </c>
      <c r="L29">
        <v>4.7629999999999999</v>
      </c>
      <c r="M29">
        <v>6.8000000000000005E-2</v>
      </c>
      <c r="N29">
        <v>500</v>
      </c>
      <c r="O29">
        <v>206</v>
      </c>
      <c r="P29">
        <v>262.22899999999998</v>
      </c>
      <c r="R29">
        <f t="shared" si="3"/>
        <v>1.5564600736107522E-3</v>
      </c>
      <c r="S29">
        <f t="shared" si="0"/>
        <v>0.47453051024718057</v>
      </c>
      <c r="T29">
        <f t="shared" si="1"/>
        <v>47.453051024718057</v>
      </c>
      <c r="U29">
        <f t="shared" si="2"/>
        <v>309216.46341463417</v>
      </c>
      <c r="V29">
        <f t="shared" si="4"/>
        <v>0.43922222222222196</v>
      </c>
      <c r="W29" s="6">
        <f t="shared" si="5"/>
        <v>0.10570217886724924</v>
      </c>
    </row>
    <row r="30" spans="1:23" x14ac:dyDescent="0.2">
      <c r="A30" t="s">
        <v>68</v>
      </c>
      <c r="B30" t="s">
        <v>45</v>
      </c>
      <c r="C30">
        <v>9</v>
      </c>
      <c r="D30" t="s">
        <v>51</v>
      </c>
      <c r="E30">
        <v>3.4499999999999999E-3</v>
      </c>
      <c r="F30" t="s">
        <v>19</v>
      </c>
      <c r="G30" s="1">
        <v>45800.681666666664</v>
      </c>
      <c r="H30">
        <v>1122.271</v>
      </c>
      <c r="I30">
        <v>244719.26300000001</v>
      </c>
      <c r="J30">
        <v>2764.6030000000001</v>
      </c>
      <c r="K30">
        <v>6.51</v>
      </c>
      <c r="L30">
        <v>4.6470000000000002</v>
      </c>
      <c r="M30">
        <v>6.6000000000000003E-2</v>
      </c>
      <c r="N30">
        <v>500</v>
      </c>
      <c r="O30">
        <v>221</v>
      </c>
      <c r="P30">
        <v>281.755</v>
      </c>
      <c r="R30">
        <f t="shared" si="3"/>
        <v>1.7271628895961311E-3</v>
      </c>
      <c r="S30">
        <f t="shared" si="0"/>
        <v>0.50062692452061774</v>
      </c>
      <c r="T30">
        <f t="shared" si="1"/>
        <v>50.062692452061775</v>
      </c>
      <c r="U30">
        <f t="shared" si="2"/>
        <v>325295.94202898548</v>
      </c>
      <c r="V30">
        <f t="shared" si="4"/>
        <v>-0.74877777777777865</v>
      </c>
      <c r="W30" s="6">
        <f t="shared" si="5"/>
        <v>0.10570217886724924</v>
      </c>
    </row>
    <row r="36" spans="1:2" x14ac:dyDescent="0.2">
      <c r="A36" t="s">
        <v>90</v>
      </c>
      <c r="B36" t="s">
        <v>89</v>
      </c>
    </row>
    <row r="37" spans="1:2" x14ac:dyDescent="0.2">
      <c r="A37" t="s">
        <v>91</v>
      </c>
      <c r="B37" s="3">
        <v>45800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50"/>
  <sheetViews>
    <sheetView topLeftCell="T1" zoomScale="89" workbookViewId="0">
      <selection activeCell="AG2" sqref="AG2:AG47"/>
    </sheetView>
  </sheetViews>
  <sheetFormatPr baseColWidth="10" defaultRowHeight="16" x14ac:dyDescent="0.2"/>
  <cols>
    <col min="4" max="4" width="11" bestFit="1" customWidth="1"/>
    <col min="6" max="6" width="19.6640625" customWidth="1"/>
    <col min="7" max="9" width="11" bestFit="1" customWidth="1"/>
    <col min="11" max="11" width="14.83203125" bestFit="1" customWidth="1"/>
    <col min="12" max="20" width="11" bestFit="1" customWidth="1"/>
    <col min="22" max="28" width="11" bestFit="1" customWidth="1"/>
    <col min="29" max="30" width="11" customWidth="1"/>
  </cols>
  <sheetData>
    <row r="1" spans="1:41" x14ac:dyDescent="0.2">
      <c r="F1" t="s">
        <v>153</v>
      </c>
      <c r="G1" t="s">
        <v>156</v>
      </c>
      <c r="AE1" t="s">
        <v>157</v>
      </c>
      <c r="AH1" t="s">
        <v>159</v>
      </c>
      <c r="AK1" t="s">
        <v>165</v>
      </c>
    </row>
    <row r="2" spans="1:41" x14ac:dyDescent="0.2">
      <c r="A2" t="s">
        <v>41</v>
      </c>
      <c r="B2" t="s">
        <v>43</v>
      </c>
      <c r="C2" t="s">
        <v>166</v>
      </c>
      <c r="D2" t="s">
        <v>42</v>
      </c>
      <c r="E2" t="s">
        <v>48</v>
      </c>
      <c r="F2" t="s">
        <v>154</v>
      </c>
      <c r="G2" t="s">
        <v>155</v>
      </c>
      <c r="H2" t="s">
        <v>151</v>
      </c>
      <c r="I2" t="s">
        <v>152</v>
      </c>
      <c r="J2" t="s">
        <v>0</v>
      </c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  <c r="V2" s="2" t="s">
        <v>53</v>
      </c>
      <c r="W2" s="2" t="s">
        <v>54</v>
      </c>
      <c r="X2" s="2" t="s">
        <v>55</v>
      </c>
      <c r="Y2" s="2" t="s">
        <v>56</v>
      </c>
      <c r="Z2" s="2" t="s">
        <v>100</v>
      </c>
      <c r="AA2" s="2" t="s">
        <v>101</v>
      </c>
      <c r="AB2" s="2" t="s">
        <v>102</v>
      </c>
      <c r="AC2" s="2" t="s">
        <v>161</v>
      </c>
      <c r="AD2" s="2" t="s">
        <v>162</v>
      </c>
      <c r="AE2" s="2" t="s">
        <v>158</v>
      </c>
      <c r="AF2" s="2" t="s">
        <v>163</v>
      </c>
      <c r="AG2" s="2" t="s">
        <v>181</v>
      </c>
      <c r="AH2" s="2" t="s">
        <v>160</v>
      </c>
      <c r="AI2" s="2" t="s">
        <v>164</v>
      </c>
      <c r="AJ2" s="2" t="s">
        <v>182</v>
      </c>
      <c r="AN2" s="2"/>
      <c r="AO2" s="2"/>
    </row>
    <row r="3" spans="1:41" s="4" customFormat="1" x14ac:dyDescent="0.2">
      <c r="C3" s="4">
        <v>1333</v>
      </c>
      <c r="D3" s="4">
        <v>1</v>
      </c>
      <c r="E3" s="4" t="s">
        <v>111</v>
      </c>
      <c r="F3" s="4">
        <v>0.10829999999999999</v>
      </c>
      <c r="G3" s="12">
        <v>4.4999999999999997E-3</v>
      </c>
      <c r="H3" s="12">
        <f>SUM(G3:G6)</f>
        <v>0.25019999999999998</v>
      </c>
      <c r="I3" s="12">
        <f>G3/H3</f>
        <v>1.7985611510791366E-2</v>
      </c>
      <c r="J3" s="4" t="s">
        <v>141</v>
      </c>
      <c r="K3" s="8">
        <v>45848.631261574075</v>
      </c>
      <c r="L3" s="4">
        <v>3676.8919999999998</v>
      </c>
      <c r="M3" s="4">
        <v>1057444.7120000001</v>
      </c>
      <c r="N3" s="4">
        <v>11948.31</v>
      </c>
      <c r="O3" s="4">
        <v>7.54</v>
      </c>
      <c r="P3" s="4">
        <v>1.4999999999999999E-2</v>
      </c>
      <c r="Q3" s="4">
        <v>1.4E-2</v>
      </c>
      <c r="R3" s="4">
        <v>300</v>
      </c>
      <c r="S3" s="4">
        <v>434</v>
      </c>
      <c r="T3" s="4">
        <v>550.17200000000003</v>
      </c>
      <c r="V3" s="9">
        <v>4.7244256445708958E-3</v>
      </c>
      <c r="W3" s="9">
        <v>4.3623505490035977E-2</v>
      </c>
      <c r="X3" s="9">
        <v>4.3623505490035974</v>
      </c>
      <c r="Y3" s="9">
        <v>33950.987996306554</v>
      </c>
      <c r="Z3" s="9">
        <v>0.43755555555555592</v>
      </c>
      <c r="AA3" s="9">
        <v>0.21991948582814022</v>
      </c>
      <c r="AB3" s="2">
        <v>4</v>
      </c>
      <c r="AC3" s="2">
        <f>SUM(V3:V6)</f>
        <v>1.2696037508500919E-2</v>
      </c>
      <c r="AD3" s="2">
        <f>V3/AC3</f>
        <v>0.37211812279284384</v>
      </c>
      <c r="AE3" s="11">
        <f>SUM(V3:V5)</f>
        <v>1.0540445500129024E-2</v>
      </c>
      <c r="AF3" s="11">
        <f>SUM(AD3:AD5)</f>
        <v>0.83021537177024185</v>
      </c>
      <c r="AG3" s="11">
        <f>SUM(Z3:Z5)</f>
        <v>-1.4224444444444435</v>
      </c>
      <c r="AH3" s="2"/>
      <c r="AK3" s="4">
        <f>AH6/AE3</f>
        <v>0.20450672681202217</v>
      </c>
      <c r="AN3" s="2"/>
    </row>
    <row r="4" spans="1:41" x14ac:dyDescent="0.2">
      <c r="A4" t="s">
        <v>103</v>
      </c>
      <c r="B4" t="s">
        <v>45</v>
      </c>
      <c r="C4" s="4">
        <v>1333</v>
      </c>
      <c r="D4">
        <v>1</v>
      </c>
      <c r="E4" t="s">
        <v>52</v>
      </c>
      <c r="F4">
        <v>1.01E-2</v>
      </c>
      <c r="G4">
        <v>5.2499999999999998E-2</v>
      </c>
      <c r="H4" s="12"/>
      <c r="I4" s="12">
        <f>G4/H3</f>
        <v>0.20983213429256595</v>
      </c>
      <c r="J4" t="s">
        <v>104</v>
      </c>
      <c r="K4" s="1">
        <v>45810.709664351853</v>
      </c>
      <c r="L4">
        <v>2651.0839999999998</v>
      </c>
      <c r="M4">
        <v>699652.82900000003</v>
      </c>
      <c r="N4">
        <v>7897.9290000000001</v>
      </c>
      <c r="O4">
        <v>6.4489999999999998</v>
      </c>
      <c r="P4">
        <v>10.182</v>
      </c>
      <c r="Q4">
        <v>0.128</v>
      </c>
      <c r="R4">
        <v>500</v>
      </c>
      <c r="S4">
        <v>332</v>
      </c>
      <c r="T4">
        <v>423.31599999999997</v>
      </c>
      <c r="V4">
        <v>3.8314382467849704E-3</v>
      </c>
      <c r="W4">
        <v>0.3793503214638585</v>
      </c>
      <c r="X4">
        <v>37.9350321463859</v>
      </c>
      <c r="Y4">
        <v>262483.56435643561</v>
      </c>
      <c r="Z4">
        <v>-0.78699999999999992</v>
      </c>
      <c r="AA4" s="6">
        <v>7.609131940562526E-2</v>
      </c>
      <c r="AB4">
        <v>3</v>
      </c>
      <c r="AD4" s="2">
        <f>V4/AC3</f>
        <v>0.30178220915144149</v>
      </c>
      <c r="AE4" s="11"/>
      <c r="AF4" s="11"/>
      <c r="AG4" s="11"/>
    </row>
    <row r="5" spans="1:41" x14ac:dyDescent="0.2">
      <c r="A5" t="s">
        <v>105</v>
      </c>
      <c r="B5" t="s">
        <v>45</v>
      </c>
      <c r="C5" s="4">
        <v>1333</v>
      </c>
      <c r="D5">
        <v>1</v>
      </c>
      <c r="E5" t="s">
        <v>51</v>
      </c>
      <c r="F5">
        <v>1.0529999999999999E-2</v>
      </c>
      <c r="G5">
        <v>0.13420000000000001</v>
      </c>
      <c r="H5" s="12"/>
      <c r="I5" s="12">
        <f>G5/H3</f>
        <v>0.53637090327737824</v>
      </c>
      <c r="J5" t="s">
        <v>106</v>
      </c>
      <c r="K5" s="1">
        <v>45810.811990740738</v>
      </c>
      <c r="L5">
        <v>1434.326</v>
      </c>
      <c r="M5">
        <v>338246.76799999998</v>
      </c>
      <c r="N5">
        <v>3818.8760000000002</v>
      </c>
      <c r="O5">
        <v>6.1630000000000003</v>
      </c>
      <c r="P5">
        <v>6.0439999999999996</v>
      </c>
      <c r="Q5">
        <v>8.2000000000000003E-2</v>
      </c>
      <c r="R5">
        <v>500</v>
      </c>
      <c r="S5">
        <v>255</v>
      </c>
      <c r="T5">
        <v>325.13299999999998</v>
      </c>
      <c r="V5">
        <v>1.9845816087731586E-3</v>
      </c>
      <c r="W5">
        <v>0.18846928858244621</v>
      </c>
      <c r="X5">
        <v>18.84692885824462</v>
      </c>
      <c r="Y5">
        <v>136213.2953466287</v>
      </c>
      <c r="Z5">
        <v>-1.0729999999999995</v>
      </c>
      <c r="AA5" s="6">
        <v>7.609131940562526E-2</v>
      </c>
      <c r="AB5">
        <v>2</v>
      </c>
      <c r="AD5" s="2">
        <f>V5/AC3</f>
        <v>0.15631503982595649</v>
      </c>
      <c r="AE5" s="11"/>
      <c r="AF5" s="11"/>
      <c r="AG5" s="11"/>
    </row>
    <row r="6" spans="1:41" x14ac:dyDescent="0.2">
      <c r="A6" t="s">
        <v>107</v>
      </c>
      <c r="B6" t="s">
        <v>45</v>
      </c>
      <c r="C6" s="4">
        <v>1333</v>
      </c>
      <c r="D6">
        <v>1</v>
      </c>
      <c r="E6" t="s">
        <v>108</v>
      </c>
      <c r="F6">
        <v>1.0290000000000001E-2</v>
      </c>
      <c r="G6">
        <v>5.8999999999999997E-2</v>
      </c>
      <c r="H6" s="12"/>
      <c r="I6" s="12">
        <f>G6/H3</f>
        <v>0.23581135091926458</v>
      </c>
      <c r="J6" t="s">
        <v>109</v>
      </c>
      <c r="K6" s="1">
        <v>45810.869479166664</v>
      </c>
      <c r="L6">
        <v>1532.04</v>
      </c>
      <c r="M6">
        <v>371711.30099999998</v>
      </c>
      <c r="N6">
        <v>4204.0519999999997</v>
      </c>
      <c r="O6">
        <v>7.968</v>
      </c>
      <c r="P6">
        <v>4.87</v>
      </c>
      <c r="Q6">
        <v>6.7000000000000004E-2</v>
      </c>
      <c r="R6">
        <v>500</v>
      </c>
      <c r="S6">
        <v>266</v>
      </c>
      <c r="T6">
        <v>339.82499999999999</v>
      </c>
      <c r="V6">
        <v>2.1555920083718948E-3</v>
      </c>
      <c r="W6">
        <v>0.20948416019163213</v>
      </c>
      <c r="X6">
        <v>20.948416019163211</v>
      </c>
      <c r="Y6">
        <v>148886.29737609328</v>
      </c>
      <c r="Z6">
        <v>0.73200000000000021</v>
      </c>
      <c r="AA6" s="6">
        <v>7.609131940562526E-2</v>
      </c>
      <c r="AB6">
        <v>1</v>
      </c>
      <c r="AD6" s="2">
        <f>V6/AC3</f>
        <v>0.16978462822975826</v>
      </c>
      <c r="AE6" s="11"/>
      <c r="AF6" s="11"/>
      <c r="AG6" s="11"/>
      <c r="AH6" s="2">
        <f>V6</f>
        <v>2.1555920083718948E-3</v>
      </c>
      <c r="AI6">
        <f>AD6</f>
        <v>0.16978462822975826</v>
      </c>
      <c r="AJ6">
        <f>Z6</f>
        <v>0.73200000000000021</v>
      </c>
      <c r="AN6" s="2"/>
    </row>
    <row r="7" spans="1:41" x14ac:dyDescent="0.2">
      <c r="A7" t="s">
        <v>64</v>
      </c>
      <c r="B7" t="s">
        <v>45</v>
      </c>
      <c r="C7" s="4">
        <v>1616</v>
      </c>
      <c r="D7">
        <v>3</v>
      </c>
      <c r="E7" t="s">
        <v>47</v>
      </c>
      <c r="F7">
        <v>3.81E-3</v>
      </c>
      <c r="G7">
        <v>2.86E-2</v>
      </c>
      <c r="H7">
        <f>SUM(G7:G10)</f>
        <v>0.2797</v>
      </c>
      <c r="I7">
        <f>G7/H7</f>
        <v>0.10225241329996425</v>
      </c>
      <c r="J7" t="s">
        <v>15</v>
      </c>
      <c r="K7" s="1">
        <v>45800.636678240742</v>
      </c>
      <c r="L7">
        <v>1885.2919999999999</v>
      </c>
      <c r="M7">
        <v>477249.82699999999</v>
      </c>
      <c r="N7">
        <v>5396.9359999999997</v>
      </c>
      <c r="O7">
        <v>7.9820000000000002</v>
      </c>
      <c r="P7">
        <v>0.11899999999999999</v>
      </c>
      <c r="Q7">
        <v>1.4999999999999999E-2</v>
      </c>
      <c r="R7">
        <v>500</v>
      </c>
      <c r="S7">
        <v>293</v>
      </c>
      <c r="T7">
        <v>374.94400000000002</v>
      </c>
      <c r="V7">
        <v>2.9406195804048373E-3</v>
      </c>
      <c r="W7">
        <v>0.77181616283591525</v>
      </c>
      <c r="X7">
        <v>77.181616283591524</v>
      </c>
      <c r="Y7">
        <v>494827.29658792651</v>
      </c>
      <c r="Z7">
        <v>0.72322222222222177</v>
      </c>
      <c r="AA7" s="6">
        <v>0.10570217886724924</v>
      </c>
      <c r="AB7">
        <v>4</v>
      </c>
      <c r="AC7" s="2">
        <f>SUM(V7:V10)</f>
        <v>9.079861904244103E-3</v>
      </c>
      <c r="AD7" s="2">
        <f>V7/AC7</f>
        <v>0.32386170752556653</v>
      </c>
      <c r="AE7" s="11">
        <f>SUM(V7:V9)</f>
        <v>6.4227131818305576E-3</v>
      </c>
      <c r="AF7" s="11">
        <f>SUM(AD7:AD9)</f>
        <v>0.70735802477661658</v>
      </c>
      <c r="AG7" s="11">
        <f>SUM(Z7:Z9)</f>
        <v>-0.73133333333333539</v>
      </c>
      <c r="AK7" s="4">
        <f>AH10/AE7</f>
        <v>0.41371125366931355</v>
      </c>
    </row>
    <row r="8" spans="1:41" x14ac:dyDescent="0.2">
      <c r="A8" t="s">
        <v>69</v>
      </c>
      <c r="B8" t="s">
        <v>45</v>
      </c>
      <c r="C8" s="4">
        <v>1616</v>
      </c>
      <c r="D8">
        <v>3</v>
      </c>
      <c r="E8" t="s">
        <v>52</v>
      </c>
      <c r="F8">
        <v>3.9699999999999996E-3</v>
      </c>
      <c r="G8">
        <v>7.7899999999999997E-2</v>
      </c>
      <c r="I8">
        <f>G8/H7</f>
        <v>0.27851269217018232</v>
      </c>
      <c r="J8" t="s">
        <v>20</v>
      </c>
      <c r="K8" s="1">
        <v>45800.693368055552</v>
      </c>
      <c r="L8">
        <v>1327.883</v>
      </c>
      <c r="M8">
        <v>303447.97700000001</v>
      </c>
      <c r="N8">
        <v>3427.3319999999999</v>
      </c>
      <c r="O8">
        <v>6.4539999999999997</v>
      </c>
      <c r="P8">
        <v>3.8919999999999999</v>
      </c>
      <c r="Q8">
        <v>5.7000000000000002E-2</v>
      </c>
      <c r="R8">
        <v>500</v>
      </c>
      <c r="S8">
        <v>242</v>
      </c>
      <c r="T8">
        <v>308.87599999999998</v>
      </c>
      <c r="V8">
        <v>2.0336376588479315E-3</v>
      </c>
      <c r="W8">
        <v>0.51225129945791736</v>
      </c>
      <c r="X8">
        <v>51.225129945791736</v>
      </c>
      <c r="Y8">
        <v>334479.34508816124</v>
      </c>
      <c r="Z8">
        <v>-0.8047777777777787</v>
      </c>
      <c r="AA8" s="6">
        <v>0.10570217886724924</v>
      </c>
      <c r="AB8">
        <v>3</v>
      </c>
      <c r="AD8" s="2">
        <f>V8/AC7</f>
        <v>0.22397231150590186</v>
      </c>
    </row>
    <row r="9" spans="1:41" x14ac:dyDescent="0.2">
      <c r="A9" t="s">
        <v>78</v>
      </c>
      <c r="B9" t="s">
        <v>45</v>
      </c>
      <c r="C9" s="4">
        <v>1616</v>
      </c>
      <c r="D9">
        <v>3</v>
      </c>
      <c r="E9" t="s">
        <v>51</v>
      </c>
      <c r="F9">
        <v>4.2700000000000004E-3</v>
      </c>
      <c r="G9">
        <v>9.3700000000000006E-2</v>
      </c>
      <c r="I9">
        <f>G9/H7</f>
        <v>0.33500178762960314</v>
      </c>
      <c r="J9" t="s">
        <v>29</v>
      </c>
      <c r="K9" s="1">
        <v>45800.818993055553</v>
      </c>
      <c r="L9">
        <v>953.60799999999995</v>
      </c>
      <c r="M9">
        <v>191311.60200000001</v>
      </c>
      <c r="N9">
        <v>2161.873</v>
      </c>
      <c r="O9">
        <v>6.609</v>
      </c>
      <c r="P9">
        <v>5.101</v>
      </c>
      <c r="Q9">
        <v>7.0000000000000007E-2</v>
      </c>
      <c r="R9">
        <v>500</v>
      </c>
      <c r="S9">
        <v>193</v>
      </c>
      <c r="T9">
        <v>246.36</v>
      </c>
      <c r="V9">
        <v>1.448455942577789E-3</v>
      </c>
      <c r="W9">
        <v>0.33921684837887328</v>
      </c>
      <c r="X9">
        <v>33.921684837887327</v>
      </c>
      <c r="Y9">
        <v>223327.40046838403</v>
      </c>
      <c r="Z9">
        <v>-0.64977777777777845</v>
      </c>
      <c r="AA9" s="6">
        <v>0.10570217886724924</v>
      </c>
      <c r="AB9">
        <v>2</v>
      </c>
      <c r="AD9" s="2">
        <f>V9/AC7</f>
        <v>0.15952400574514825</v>
      </c>
    </row>
    <row r="10" spans="1:41" x14ac:dyDescent="0.2">
      <c r="A10" t="s">
        <v>82</v>
      </c>
      <c r="B10" t="s">
        <v>45</v>
      </c>
      <c r="C10" s="4">
        <v>1616</v>
      </c>
      <c r="D10">
        <v>3</v>
      </c>
      <c r="E10" t="s">
        <v>49</v>
      </c>
      <c r="F10">
        <v>3.9699999999999996E-3</v>
      </c>
      <c r="G10">
        <v>7.9500000000000001E-2</v>
      </c>
      <c r="I10">
        <f>G10/H7</f>
        <v>0.28423310690025028</v>
      </c>
      <c r="J10" t="s">
        <v>33</v>
      </c>
      <c r="K10" s="1">
        <v>45800.865833333337</v>
      </c>
      <c r="L10">
        <v>1698.4670000000001</v>
      </c>
      <c r="M10">
        <v>422929.27399999998</v>
      </c>
      <c r="N10">
        <v>4782.924</v>
      </c>
      <c r="O10">
        <v>7.96</v>
      </c>
      <c r="P10">
        <v>5.101</v>
      </c>
      <c r="Q10">
        <v>7.0000000000000007E-2</v>
      </c>
      <c r="R10">
        <v>500</v>
      </c>
      <c r="S10">
        <v>280</v>
      </c>
      <c r="T10">
        <v>358.43</v>
      </c>
      <c r="V10">
        <v>2.6571487224135459E-3</v>
      </c>
      <c r="W10">
        <v>0.66930698297570435</v>
      </c>
      <c r="X10">
        <v>66.93069829757043</v>
      </c>
      <c r="Y10">
        <v>427825.44080604543</v>
      </c>
      <c r="Z10">
        <v>0.70122222222222153</v>
      </c>
      <c r="AA10" s="6">
        <v>0.10570217886724924</v>
      </c>
      <c r="AB10">
        <v>1</v>
      </c>
      <c r="AD10" s="2">
        <f>V10/AC7</f>
        <v>0.29264197522338342</v>
      </c>
      <c r="AH10" s="2">
        <f>V10</f>
        <v>2.6571487224135459E-3</v>
      </c>
      <c r="AI10">
        <f>AD10</f>
        <v>0.29264197522338342</v>
      </c>
      <c r="AJ10">
        <f>Z10</f>
        <v>0.70122222222222153</v>
      </c>
      <c r="AN10" s="2"/>
    </row>
    <row r="11" spans="1:41" x14ac:dyDescent="0.2">
      <c r="A11" t="s">
        <v>71</v>
      </c>
      <c r="B11" t="s">
        <v>45</v>
      </c>
      <c r="C11" s="4">
        <v>1664</v>
      </c>
      <c r="D11">
        <v>4</v>
      </c>
      <c r="E11" t="s">
        <v>50</v>
      </c>
      <c r="F11">
        <v>2.5500000000000002E-3</v>
      </c>
      <c r="G11">
        <v>0.13800000000000001</v>
      </c>
      <c r="H11">
        <f>SUM(G11:G14)</f>
        <v>0.27260000000000001</v>
      </c>
      <c r="I11">
        <f>G11/H11</f>
        <v>0.50623624358033747</v>
      </c>
      <c r="J11" t="s">
        <v>22</v>
      </c>
      <c r="K11" s="1">
        <v>45800.71638888889</v>
      </c>
      <c r="L11">
        <v>1373.48</v>
      </c>
      <c r="M11">
        <v>318794.28399999999</v>
      </c>
      <c r="N11">
        <v>3602.924</v>
      </c>
      <c r="O11">
        <v>7.1360000000000001</v>
      </c>
      <c r="P11">
        <v>1.8640000000000001</v>
      </c>
      <c r="Q11">
        <v>3.4000000000000002E-2</v>
      </c>
      <c r="R11">
        <v>500</v>
      </c>
      <c r="S11">
        <v>248</v>
      </c>
      <c r="T11">
        <v>316.29300000000001</v>
      </c>
      <c r="V11">
        <v>2.1137220941497546E-3</v>
      </c>
      <c r="W11">
        <v>0.82891062515676639</v>
      </c>
      <c r="X11">
        <v>82.891062515676637</v>
      </c>
      <c r="Y11">
        <v>538619.60784313723</v>
      </c>
      <c r="Z11">
        <v>-0.12277777777777832</v>
      </c>
      <c r="AA11" s="6">
        <v>0.10570217886724924</v>
      </c>
      <c r="AB11">
        <v>4</v>
      </c>
      <c r="AC11" s="2">
        <f>SUM(V11:V14)</f>
        <v>7.0398862132827729E-3</v>
      </c>
      <c r="AD11" s="2">
        <f>V11/AC11</f>
        <v>0.30024946854419454</v>
      </c>
      <c r="AE11" s="11">
        <f>SUM(V11:V13)</f>
        <v>5.0718591004658914E-3</v>
      </c>
      <c r="AF11" s="11">
        <f>SUM(AD11:AD13)</f>
        <v>0.72044617580556469</v>
      </c>
      <c r="AG11" s="11">
        <f>SUM(Z11:Z13)</f>
        <v>-3.2093333333333351</v>
      </c>
      <c r="AK11" s="4">
        <f>AH14/AE11</f>
        <v>0.38802874327405945</v>
      </c>
    </row>
    <row r="12" spans="1:41" x14ac:dyDescent="0.2">
      <c r="A12" t="s">
        <v>65</v>
      </c>
      <c r="B12" t="s">
        <v>45</v>
      </c>
      <c r="C12" s="4">
        <v>1664</v>
      </c>
      <c r="D12">
        <v>4</v>
      </c>
      <c r="E12" t="s">
        <v>46</v>
      </c>
      <c r="F12">
        <v>2.1099999999999999E-3</v>
      </c>
      <c r="G12">
        <v>2.3E-3</v>
      </c>
      <c r="I12">
        <f>G12/H11</f>
        <v>8.4372707263389579E-3</v>
      </c>
      <c r="J12" t="s">
        <v>16</v>
      </c>
      <c r="K12" s="1">
        <v>45800.646956018521</v>
      </c>
      <c r="L12">
        <v>961.14499999999998</v>
      </c>
      <c r="M12">
        <v>192331.851</v>
      </c>
      <c r="N12">
        <v>2170.6489999999999</v>
      </c>
      <c r="O12">
        <v>5.3639999999999999</v>
      </c>
      <c r="P12">
        <v>7.0750000000000002</v>
      </c>
      <c r="Q12">
        <v>9.1999999999999998E-2</v>
      </c>
      <c r="R12">
        <v>500</v>
      </c>
      <c r="S12">
        <v>194</v>
      </c>
      <c r="T12">
        <v>246.30099999999999</v>
      </c>
      <c r="V12">
        <v>1.4537800941819665E-3</v>
      </c>
      <c r="W12">
        <v>0.68899530529951025</v>
      </c>
      <c r="X12">
        <v>68.899530529951022</v>
      </c>
      <c r="Y12">
        <v>455518.9573459716</v>
      </c>
      <c r="Z12">
        <v>-1.8947777777777786</v>
      </c>
      <c r="AA12" s="6">
        <v>0.10570217886724924</v>
      </c>
      <c r="AB12">
        <v>3</v>
      </c>
      <c r="AD12" s="2">
        <f>V12/AC11</f>
        <v>0.20650619202324486</v>
      </c>
      <c r="AF12" s="2"/>
      <c r="AG12" s="2"/>
    </row>
    <row r="13" spans="1:41" x14ac:dyDescent="0.2">
      <c r="A13" t="s">
        <v>75</v>
      </c>
      <c r="B13" t="s">
        <v>45</v>
      </c>
      <c r="C13" s="4">
        <v>1664</v>
      </c>
      <c r="D13">
        <v>4</v>
      </c>
      <c r="E13" t="s">
        <v>51</v>
      </c>
      <c r="F13">
        <v>2.2100000000000002E-3</v>
      </c>
      <c r="G13">
        <v>3.6799999999999999E-2</v>
      </c>
      <c r="I13">
        <f>G13/H11</f>
        <v>0.13499633162142333</v>
      </c>
      <c r="J13" t="s">
        <v>26</v>
      </c>
      <c r="K13" s="1">
        <v>45800.784675925926</v>
      </c>
      <c r="L13">
        <v>983.47699999999998</v>
      </c>
      <c r="M13">
        <v>202023.71400000001</v>
      </c>
      <c r="N13">
        <v>2281.6729999999998</v>
      </c>
      <c r="O13">
        <v>6.0670000000000002</v>
      </c>
      <c r="P13">
        <v>0.28100000000000003</v>
      </c>
      <c r="Q13">
        <v>8.9999999999999993E-3</v>
      </c>
      <c r="R13">
        <v>500</v>
      </c>
      <c r="S13">
        <v>200</v>
      </c>
      <c r="T13">
        <v>254.72900000000001</v>
      </c>
      <c r="V13">
        <v>1.5043569121341706E-3</v>
      </c>
      <c r="W13">
        <v>0.68070448512858395</v>
      </c>
      <c r="X13">
        <v>68.070448512858391</v>
      </c>
      <c r="Y13">
        <v>445012.21719457011</v>
      </c>
      <c r="Z13">
        <v>-1.1917777777777783</v>
      </c>
      <c r="AA13" s="6">
        <v>0.10570217886724924</v>
      </c>
      <c r="AB13">
        <v>2</v>
      </c>
      <c r="AD13" s="2">
        <f>V13/AC11</f>
        <v>0.21369051523812529</v>
      </c>
      <c r="AF13" s="2"/>
      <c r="AG13" s="2"/>
    </row>
    <row r="14" spans="1:41" x14ac:dyDescent="0.2">
      <c r="A14" t="s">
        <v>79</v>
      </c>
      <c r="B14" t="s">
        <v>45</v>
      </c>
      <c r="C14" s="4">
        <v>1664</v>
      </c>
      <c r="D14">
        <v>4</v>
      </c>
      <c r="E14" t="s">
        <v>49</v>
      </c>
      <c r="F14">
        <v>2.0500000000000002E-3</v>
      </c>
      <c r="G14">
        <v>9.5500000000000002E-2</v>
      </c>
      <c r="I14">
        <f>G14/H11</f>
        <v>0.35033015407190021</v>
      </c>
      <c r="J14" t="s">
        <v>30</v>
      </c>
      <c r="K14" s="1">
        <v>45800.830995370372</v>
      </c>
      <c r="L14">
        <v>1281.1790000000001</v>
      </c>
      <c r="M14">
        <v>290875.25199999998</v>
      </c>
      <c r="N14">
        <v>3289.5929999999998</v>
      </c>
      <c r="O14">
        <v>7.7359999999999998</v>
      </c>
      <c r="P14">
        <v>3.1920000000000002</v>
      </c>
      <c r="Q14">
        <v>4.9000000000000002E-2</v>
      </c>
      <c r="R14">
        <v>500</v>
      </c>
      <c r="S14">
        <v>238</v>
      </c>
      <c r="T14">
        <v>304.11799999999999</v>
      </c>
      <c r="V14">
        <v>1.9680271128168815E-3</v>
      </c>
      <c r="W14">
        <v>0.96001322576433235</v>
      </c>
      <c r="X14">
        <v>96.001322576433239</v>
      </c>
      <c r="Y14">
        <v>624965.36585365853</v>
      </c>
      <c r="Z14">
        <v>0.47722222222222133</v>
      </c>
      <c r="AA14" s="6">
        <v>0.10570217886724924</v>
      </c>
      <c r="AB14">
        <v>1</v>
      </c>
      <c r="AD14" s="2">
        <f>V14/AC11</f>
        <v>0.27955382419443536</v>
      </c>
      <c r="AF14" s="2"/>
      <c r="AG14" s="2"/>
      <c r="AH14" s="2">
        <f>V14</f>
        <v>1.9680271128168815E-3</v>
      </c>
      <c r="AI14">
        <f>AD14</f>
        <v>0.27955382419443536</v>
      </c>
      <c r="AJ14">
        <f>Z14</f>
        <v>0.47722222222222133</v>
      </c>
      <c r="AN14" s="2"/>
    </row>
    <row r="15" spans="1:41" x14ac:dyDescent="0.2">
      <c r="A15" t="s">
        <v>67</v>
      </c>
      <c r="B15" t="s">
        <v>45</v>
      </c>
      <c r="C15" s="4">
        <v>2296</v>
      </c>
      <c r="D15">
        <v>6</v>
      </c>
      <c r="E15" t="s">
        <v>50</v>
      </c>
      <c r="F15">
        <v>2.3999999999999998E-3</v>
      </c>
      <c r="G15">
        <v>0.16159999999999999</v>
      </c>
      <c r="H15">
        <f>SUM(G15:G18)</f>
        <v>0.28249999999999997</v>
      </c>
      <c r="I15">
        <f>G15/H15</f>
        <v>0.57203539823008853</v>
      </c>
      <c r="J15" t="s">
        <v>18</v>
      </c>
      <c r="K15" s="1">
        <v>45800.670497685183</v>
      </c>
      <c r="L15">
        <v>1356.8340000000001</v>
      </c>
      <c r="M15">
        <v>311163.96899999998</v>
      </c>
      <c r="N15">
        <v>3516.7130000000002</v>
      </c>
      <c r="O15">
        <v>7.0880000000000001</v>
      </c>
      <c r="P15">
        <v>4.0439999999999996</v>
      </c>
      <c r="Q15">
        <v>0.06</v>
      </c>
      <c r="R15">
        <v>500</v>
      </c>
      <c r="S15">
        <v>245</v>
      </c>
      <c r="T15">
        <v>312.44200000000001</v>
      </c>
      <c r="V15">
        <v>2.0739034284636042E-3</v>
      </c>
      <c r="W15">
        <v>0.86412642852650179</v>
      </c>
      <c r="X15">
        <v>86.41264285265018</v>
      </c>
      <c r="Y15">
        <v>565347.50000000012</v>
      </c>
      <c r="Z15">
        <v>-0.17077777777777836</v>
      </c>
      <c r="AA15" s="6">
        <v>0.10570217886724924</v>
      </c>
      <c r="AB15">
        <v>4</v>
      </c>
      <c r="AC15" s="2">
        <f>SUM(V15:V18)</f>
        <v>7.4403786149115783E-3</v>
      </c>
      <c r="AD15" s="2">
        <f>V15/AC15</f>
        <v>0.27873627617648467</v>
      </c>
      <c r="AE15" s="11">
        <f>SUM(V15:V17)</f>
        <v>5.2131176045134772E-3</v>
      </c>
      <c r="AF15" s="11">
        <f>SUM(AD15:AD17)</f>
        <v>0.70065219450871052</v>
      </c>
      <c r="AG15" s="11">
        <f>SUM(Z15:Z17)</f>
        <v>-1.3833333333333355</v>
      </c>
      <c r="AK15" s="4">
        <f>AH18/AE15</f>
        <v>0.42724165832548178</v>
      </c>
    </row>
    <row r="16" spans="1:41" x14ac:dyDescent="0.2">
      <c r="A16" t="s">
        <v>70</v>
      </c>
      <c r="B16" t="s">
        <v>45</v>
      </c>
      <c r="C16" s="4">
        <v>2296</v>
      </c>
      <c r="D16">
        <v>6</v>
      </c>
      <c r="E16" t="s">
        <v>52</v>
      </c>
      <c r="F16">
        <v>2.0699999999999998E-3</v>
      </c>
      <c r="G16">
        <v>7.4999999999999997E-3</v>
      </c>
      <c r="I16">
        <f>G16/H15</f>
        <v>2.6548672566371685E-2</v>
      </c>
      <c r="J16" t="s">
        <v>21</v>
      </c>
      <c r="K16" s="1">
        <v>45800.703298611108</v>
      </c>
      <c r="L16">
        <v>588.56100000000004</v>
      </c>
      <c r="M16">
        <v>66708.441999999995</v>
      </c>
      <c r="N16">
        <v>754.14400000000001</v>
      </c>
      <c r="O16">
        <v>6.3849999999999998</v>
      </c>
      <c r="P16">
        <v>4.5270000000000001</v>
      </c>
      <c r="Q16">
        <v>6.6000000000000003E-2</v>
      </c>
      <c r="R16">
        <v>500</v>
      </c>
      <c r="S16">
        <v>95</v>
      </c>
      <c r="T16">
        <v>119.712</v>
      </c>
      <c r="V16">
        <v>7.9821652631805048E-4</v>
      </c>
      <c r="W16">
        <v>0.38561184846282637</v>
      </c>
      <c r="X16">
        <v>38.561184846282636</v>
      </c>
      <c r="Y16">
        <v>284328.9855072464</v>
      </c>
      <c r="Z16">
        <v>-0.87377777777777865</v>
      </c>
      <c r="AA16" s="6">
        <v>0.10570217886724924</v>
      </c>
      <c r="AB16">
        <v>3</v>
      </c>
      <c r="AD16" s="2">
        <f>V16/AC15</f>
        <v>0.10728170804618879</v>
      </c>
    </row>
    <row r="17" spans="1:40" x14ac:dyDescent="0.2">
      <c r="A17" t="s">
        <v>84</v>
      </c>
      <c r="B17" t="s">
        <v>45</v>
      </c>
      <c r="C17" s="4">
        <v>2296</v>
      </c>
      <c r="D17">
        <v>6</v>
      </c>
      <c r="E17" t="s">
        <v>51</v>
      </c>
      <c r="F17">
        <v>2.5600000000000002E-3</v>
      </c>
      <c r="G17">
        <v>2.92E-2</v>
      </c>
      <c r="I17">
        <f>G17/H15</f>
        <v>0.10336283185840708</v>
      </c>
      <c r="J17" t="s">
        <v>35</v>
      </c>
      <c r="K17" s="1">
        <v>45800.888599537036</v>
      </c>
      <c r="L17">
        <v>1509.624</v>
      </c>
      <c r="M17">
        <v>362346.32299999997</v>
      </c>
      <c r="N17">
        <v>4093.9270000000001</v>
      </c>
      <c r="O17">
        <v>6.92</v>
      </c>
      <c r="P17">
        <v>5.8019999999999996</v>
      </c>
      <c r="Q17">
        <v>8.1000000000000003E-2</v>
      </c>
      <c r="R17">
        <v>500</v>
      </c>
      <c r="S17">
        <v>263</v>
      </c>
      <c r="T17">
        <v>335.93900000000002</v>
      </c>
      <c r="V17">
        <v>2.3409976497318231E-3</v>
      </c>
      <c r="W17">
        <v>0.91445220692649332</v>
      </c>
      <c r="X17">
        <v>91.445220692649329</v>
      </c>
      <c r="Y17">
        <v>589696.875</v>
      </c>
      <c r="Z17">
        <v>-0.33877777777777851</v>
      </c>
      <c r="AA17" s="6">
        <v>0.10570217886724924</v>
      </c>
      <c r="AB17">
        <v>2</v>
      </c>
      <c r="AD17" s="2">
        <f>V17/AC15</f>
        <v>0.31463421028603711</v>
      </c>
    </row>
    <row r="18" spans="1:40" x14ac:dyDescent="0.2">
      <c r="A18" t="s">
        <v>77</v>
      </c>
      <c r="B18" t="s">
        <v>45</v>
      </c>
      <c r="C18" s="4">
        <v>2296</v>
      </c>
      <c r="D18">
        <v>6</v>
      </c>
      <c r="E18" t="s">
        <v>49</v>
      </c>
      <c r="F18">
        <v>2.5500000000000002E-3</v>
      </c>
      <c r="G18">
        <v>8.4199999999999997E-2</v>
      </c>
      <c r="I18">
        <f>G18/H15</f>
        <v>0.29805309734513274</v>
      </c>
      <c r="J18" t="s">
        <v>28</v>
      </c>
      <c r="K18" s="1">
        <v>45800.808240740742</v>
      </c>
      <c r="L18">
        <v>1443.5219999999999</v>
      </c>
      <c r="M18">
        <v>340551.359</v>
      </c>
      <c r="N18">
        <v>3853.1190000000001</v>
      </c>
      <c r="O18">
        <v>8.2899999999999991</v>
      </c>
      <c r="P18">
        <v>5.984</v>
      </c>
      <c r="Q18">
        <v>8.2000000000000003E-2</v>
      </c>
      <c r="R18">
        <v>500</v>
      </c>
      <c r="S18">
        <v>255</v>
      </c>
      <c r="T18">
        <v>325.245</v>
      </c>
      <c r="V18">
        <v>2.2272610103981011E-3</v>
      </c>
      <c r="W18">
        <v>0.87343569035219648</v>
      </c>
      <c r="X18">
        <v>87.343569035219645</v>
      </c>
      <c r="Y18">
        <v>566087.0588235294</v>
      </c>
      <c r="Z18">
        <v>1.0312222222222207</v>
      </c>
      <c r="AA18" s="6">
        <v>0.10570217886724924</v>
      </c>
      <c r="AB18">
        <v>1</v>
      </c>
      <c r="AD18" s="2">
        <f>V18/AC15</f>
        <v>0.29934780549128948</v>
      </c>
      <c r="AH18" s="2">
        <f>V18</f>
        <v>2.2272610103981011E-3</v>
      </c>
      <c r="AI18">
        <f>AD18</f>
        <v>0.29934780549128948</v>
      </c>
      <c r="AJ18">
        <f>Z18</f>
        <v>1.0312222222222207</v>
      </c>
      <c r="AN18" s="2"/>
    </row>
    <row r="19" spans="1:40" x14ac:dyDescent="0.2">
      <c r="A19" t="s">
        <v>73</v>
      </c>
      <c r="B19" t="s">
        <v>45</v>
      </c>
      <c r="C19" s="4">
        <v>1877</v>
      </c>
      <c r="D19">
        <v>8</v>
      </c>
      <c r="E19" t="s">
        <v>50</v>
      </c>
      <c r="F19">
        <v>2.5300000000000001E-3</v>
      </c>
      <c r="G19">
        <v>0.1011</v>
      </c>
      <c r="H19">
        <f>SUM(G19:G22)</f>
        <v>0.54200000000000004</v>
      </c>
      <c r="I19">
        <f>G19/H19</f>
        <v>0.18653136531365311</v>
      </c>
      <c r="J19" t="s">
        <v>24</v>
      </c>
      <c r="K19" s="1">
        <v>45800.739374999997</v>
      </c>
      <c r="L19">
        <v>1434.6659999999999</v>
      </c>
      <c r="M19">
        <v>334882.11200000002</v>
      </c>
      <c r="N19">
        <v>3786.125</v>
      </c>
      <c r="O19">
        <v>7.5279999999999996</v>
      </c>
      <c r="P19">
        <v>3.492</v>
      </c>
      <c r="Q19">
        <v>5.2999999999999999E-2</v>
      </c>
      <c r="R19">
        <v>500</v>
      </c>
      <c r="S19">
        <v>253</v>
      </c>
      <c r="T19">
        <v>323.01799999999997</v>
      </c>
      <c r="V19">
        <v>2.1976761438512798E-3</v>
      </c>
      <c r="W19">
        <v>0.86864669717441889</v>
      </c>
      <c r="X19">
        <v>86.864669717441885</v>
      </c>
      <c r="Y19">
        <v>567061.66007905127</v>
      </c>
      <c r="Z19">
        <v>0.26922222222222114</v>
      </c>
      <c r="AA19" s="6">
        <v>0.10570217886724924</v>
      </c>
      <c r="AB19">
        <v>4</v>
      </c>
      <c r="AC19" s="2">
        <f>SUM(V19:V22)</f>
        <v>8.7761805469539957E-3</v>
      </c>
      <c r="AD19" s="2">
        <f>V19/AC19</f>
        <v>0.25041373432250563</v>
      </c>
      <c r="AE19" s="11">
        <f>SUM(V19:V21)</f>
        <v>6.9970941369246181E-3</v>
      </c>
      <c r="AF19" s="11">
        <f>SUM(AD19:AD21)</f>
        <v>0.79728238263661799</v>
      </c>
      <c r="AG19" s="11">
        <f>SUM(Z19:Z21)</f>
        <v>-7.0333333333335801E-2</v>
      </c>
      <c r="AK19" s="4">
        <f>AH22/AE19</f>
        <v>0.25426075099388701</v>
      </c>
    </row>
    <row r="20" spans="1:40" x14ac:dyDescent="0.2">
      <c r="A20" t="s">
        <v>81</v>
      </c>
      <c r="B20" t="s">
        <v>45</v>
      </c>
      <c r="C20" s="4">
        <v>1877</v>
      </c>
      <c r="D20">
        <v>8</v>
      </c>
      <c r="E20" t="s">
        <v>52</v>
      </c>
      <c r="F20">
        <v>2.64E-3</v>
      </c>
      <c r="G20">
        <v>9.9699999999999997E-2</v>
      </c>
      <c r="I20">
        <f>G20/H19</f>
        <v>0.18394833948339481</v>
      </c>
      <c r="J20" t="s">
        <v>32</v>
      </c>
      <c r="K20" s="1">
        <v>45800.854131944441</v>
      </c>
      <c r="L20">
        <v>1495.6959999999999</v>
      </c>
      <c r="M20">
        <v>351567.52100000001</v>
      </c>
      <c r="N20">
        <v>3973.4589999999998</v>
      </c>
      <c r="O20">
        <v>7.234</v>
      </c>
      <c r="P20">
        <v>5.2610000000000001</v>
      </c>
      <c r="Q20">
        <v>7.2999999999999995E-2</v>
      </c>
      <c r="R20">
        <v>500</v>
      </c>
      <c r="S20">
        <v>257</v>
      </c>
      <c r="T20">
        <v>328.10300000000001</v>
      </c>
      <c r="V20">
        <v>2.2847486595741155E-3</v>
      </c>
      <c r="W20">
        <v>0.86543509832352861</v>
      </c>
      <c r="X20">
        <v>86.543509832352868</v>
      </c>
      <c r="Y20">
        <v>566551.51515151514</v>
      </c>
      <c r="Z20">
        <v>-2.4777777777778454E-2</v>
      </c>
      <c r="AA20" s="6">
        <v>0.10570217886724924</v>
      </c>
      <c r="AB20">
        <v>3</v>
      </c>
      <c r="AD20" s="2">
        <f>V20/AC19</f>
        <v>0.26033519335095012</v>
      </c>
    </row>
    <row r="21" spans="1:40" x14ac:dyDescent="0.2">
      <c r="A21" t="s">
        <v>76</v>
      </c>
      <c r="B21" t="s">
        <v>45</v>
      </c>
      <c r="C21" s="4">
        <v>1877</v>
      </c>
      <c r="D21">
        <v>8</v>
      </c>
      <c r="E21" t="s">
        <v>51</v>
      </c>
      <c r="F21">
        <v>2.7100000000000002E-3</v>
      </c>
      <c r="G21">
        <v>1.6199999999999999E-2</v>
      </c>
      <c r="I21">
        <f>G21/H19</f>
        <v>2.9889298892988928E-2</v>
      </c>
      <c r="J21" t="s">
        <v>27</v>
      </c>
      <c r="K21" s="1">
        <v>45800.797025462962</v>
      </c>
      <c r="L21">
        <v>1621.011</v>
      </c>
      <c r="M21">
        <v>395626.435</v>
      </c>
      <c r="N21">
        <v>4469.8389999999999</v>
      </c>
      <c r="O21">
        <v>6.944</v>
      </c>
      <c r="P21">
        <v>3.2450000000000001</v>
      </c>
      <c r="Q21">
        <v>0.05</v>
      </c>
      <c r="R21">
        <v>500</v>
      </c>
      <c r="S21">
        <v>272</v>
      </c>
      <c r="T21">
        <v>348.04500000000002</v>
      </c>
      <c r="V21">
        <v>2.5146693334992228E-3</v>
      </c>
      <c r="W21">
        <v>0.92792226328384597</v>
      </c>
      <c r="X21">
        <v>92.792226328384601</v>
      </c>
      <c r="Y21">
        <v>598159.04059040581</v>
      </c>
      <c r="Z21">
        <v>-0.31477777777777849</v>
      </c>
      <c r="AA21" s="6">
        <v>0.10570217886724924</v>
      </c>
      <c r="AB21">
        <v>2</v>
      </c>
      <c r="AD21" s="2">
        <f>V21/AC19</f>
        <v>0.28653345496316218</v>
      </c>
    </row>
    <row r="22" spans="1:40" x14ac:dyDescent="0.2">
      <c r="A22" t="s">
        <v>66</v>
      </c>
      <c r="B22" t="s">
        <v>45</v>
      </c>
      <c r="C22" s="4">
        <v>1877</v>
      </c>
      <c r="D22">
        <v>8</v>
      </c>
      <c r="E22" t="s">
        <v>49</v>
      </c>
      <c r="F22">
        <v>3.13E-3</v>
      </c>
      <c r="G22">
        <v>0.32500000000000001</v>
      </c>
      <c r="I22">
        <f>G22/H19</f>
        <v>0.59963099630996308</v>
      </c>
      <c r="J22" t="s">
        <v>17</v>
      </c>
      <c r="K22" s="1">
        <v>45800.658773148149</v>
      </c>
      <c r="L22">
        <v>1158.701</v>
      </c>
      <c r="M22">
        <v>254669.19</v>
      </c>
      <c r="N22">
        <v>2881.3719999999998</v>
      </c>
      <c r="O22">
        <v>8.077</v>
      </c>
      <c r="P22">
        <v>3.3090000000000002</v>
      </c>
      <c r="Q22">
        <v>4.9000000000000002E-2</v>
      </c>
      <c r="R22">
        <v>500</v>
      </c>
      <c r="S22">
        <v>224</v>
      </c>
      <c r="T22">
        <v>285.78800000000001</v>
      </c>
      <c r="V22">
        <v>1.779086410029377E-3</v>
      </c>
      <c r="W22">
        <v>0.56839821406689361</v>
      </c>
      <c r="X22">
        <v>56.83982140668936</v>
      </c>
      <c r="Y22">
        <v>370192.01277955272</v>
      </c>
      <c r="Z22">
        <v>0.81822222222222152</v>
      </c>
      <c r="AA22" s="6">
        <v>0.10570217886724924</v>
      </c>
      <c r="AB22">
        <v>1</v>
      </c>
      <c r="AD22" s="2">
        <f>V22/AC19</f>
        <v>0.20271761736338204</v>
      </c>
      <c r="AH22" s="2">
        <f>V22</f>
        <v>1.779086410029377E-3</v>
      </c>
      <c r="AI22">
        <f>AD22</f>
        <v>0.20271761736338204</v>
      </c>
      <c r="AJ22">
        <f>Z22</f>
        <v>0.81822222222222152</v>
      </c>
      <c r="AN22" s="2"/>
    </row>
    <row r="23" spans="1:40" x14ac:dyDescent="0.2">
      <c r="A23" t="s">
        <v>83</v>
      </c>
      <c r="B23" t="s">
        <v>45</v>
      </c>
      <c r="C23" s="4">
        <v>2730</v>
      </c>
      <c r="D23">
        <v>9</v>
      </c>
      <c r="E23" t="s">
        <v>50</v>
      </c>
      <c r="F23">
        <v>3.2499999999999999E-3</v>
      </c>
      <c r="G23">
        <v>7.7499999999999999E-2</v>
      </c>
      <c r="H23">
        <f>SUM(G23:G26)</f>
        <v>0.19470000000000001</v>
      </c>
      <c r="I23">
        <f>G23/H23</f>
        <v>0.39804827940421156</v>
      </c>
      <c r="J23" t="s">
        <v>34</v>
      </c>
      <c r="K23" s="1">
        <v>45800.877222222225</v>
      </c>
      <c r="L23">
        <v>1623.211</v>
      </c>
      <c r="M23">
        <v>393349.21799999999</v>
      </c>
      <c r="N23">
        <v>4446.076</v>
      </c>
      <c r="O23">
        <v>7.3869999999999996</v>
      </c>
      <c r="P23">
        <v>6.1909999999999998</v>
      </c>
      <c r="Q23">
        <v>8.4000000000000005E-2</v>
      </c>
      <c r="R23">
        <v>500</v>
      </c>
      <c r="S23">
        <v>271</v>
      </c>
      <c r="T23">
        <v>346.07499999999999</v>
      </c>
      <c r="V23">
        <v>2.5027857163198771E-3</v>
      </c>
      <c r="W23">
        <v>0.77008791271380839</v>
      </c>
      <c r="X23">
        <v>77.008791271380844</v>
      </c>
      <c r="Y23">
        <v>499449.5384615385</v>
      </c>
      <c r="Z23">
        <v>0.12822222222222113</v>
      </c>
      <c r="AA23" s="6">
        <v>0.10570217886724924</v>
      </c>
      <c r="AB23">
        <v>4</v>
      </c>
      <c r="AC23" s="2">
        <f>SUM(V23:V26)</f>
        <v>8.1026833715685375E-3</v>
      </c>
      <c r="AD23" s="2">
        <f>V23/AC23</f>
        <v>0.30888356382058424</v>
      </c>
      <c r="AE23" s="11">
        <f>SUM(V23:V25)</f>
        <v>6.5462232979577846E-3</v>
      </c>
      <c r="AF23" s="11">
        <f>SUM(AD23:AD25)</f>
        <v>0.80790807165534717</v>
      </c>
      <c r="AG23" s="11">
        <f>SUM(Z23:Z25)</f>
        <v>-0.85233333333333583</v>
      </c>
      <c r="AK23" s="4">
        <f>AH26/AE23</f>
        <v>0.23776458619985033</v>
      </c>
    </row>
    <row r="24" spans="1:40" x14ac:dyDescent="0.2">
      <c r="A24" t="s">
        <v>80</v>
      </c>
      <c r="B24" t="s">
        <v>45</v>
      </c>
      <c r="C24" s="4">
        <v>2730</v>
      </c>
      <c r="D24">
        <v>9</v>
      </c>
      <c r="E24" t="s">
        <v>52</v>
      </c>
      <c r="F24">
        <v>3.2100000000000002E-3</v>
      </c>
      <c r="G24">
        <v>5.9799999999999999E-2</v>
      </c>
      <c r="I24">
        <f>G24/H23</f>
        <v>0.30713918849512067</v>
      </c>
      <c r="J24" t="s">
        <v>31</v>
      </c>
      <c r="K24" s="1">
        <v>45800.84269675926</v>
      </c>
      <c r="L24">
        <v>1506.384</v>
      </c>
      <c r="M24">
        <v>357608.74699999997</v>
      </c>
      <c r="N24">
        <v>4040.84</v>
      </c>
      <c r="O24">
        <v>7.0270000000000001</v>
      </c>
      <c r="P24">
        <v>4.4160000000000004</v>
      </c>
      <c r="Q24">
        <v>6.4000000000000001E-2</v>
      </c>
      <c r="R24">
        <v>500</v>
      </c>
      <c r="S24">
        <v>260</v>
      </c>
      <c r="T24">
        <v>332.06299999999999</v>
      </c>
      <c r="V24">
        <v>2.316274692041776E-3</v>
      </c>
      <c r="W24">
        <v>0.72158090094759375</v>
      </c>
      <c r="X24">
        <v>72.158090094759373</v>
      </c>
      <c r="Y24">
        <v>469278.50467289716</v>
      </c>
      <c r="Z24">
        <v>-0.2317777777777783</v>
      </c>
      <c r="AA24" s="6">
        <v>0.10570217886724924</v>
      </c>
      <c r="AB24">
        <v>3</v>
      </c>
      <c r="AD24" s="2">
        <f>V24/AC23</f>
        <v>0.28586513699515148</v>
      </c>
    </row>
    <row r="25" spans="1:40" x14ac:dyDescent="0.2">
      <c r="A25" t="s">
        <v>68</v>
      </c>
      <c r="B25" t="s">
        <v>45</v>
      </c>
      <c r="C25" s="4">
        <v>2730</v>
      </c>
      <c r="D25">
        <v>9</v>
      </c>
      <c r="E25" t="s">
        <v>51</v>
      </c>
      <c r="F25">
        <v>3.4499999999999999E-3</v>
      </c>
      <c r="G25">
        <v>1.26E-2</v>
      </c>
      <c r="I25">
        <f>G25/H23</f>
        <v>6.4714946070878271E-2</v>
      </c>
      <c r="J25" t="s">
        <v>19</v>
      </c>
      <c r="K25" s="1">
        <v>45800.681666666664</v>
      </c>
      <c r="L25">
        <v>1122.271</v>
      </c>
      <c r="M25">
        <v>244719.26300000001</v>
      </c>
      <c r="N25">
        <v>2764.6030000000001</v>
      </c>
      <c r="O25">
        <v>6.51</v>
      </c>
      <c r="P25">
        <v>4.6470000000000002</v>
      </c>
      <c r="Q25">
        <v>6.6000000000000003E-2</v>
      </c>
      <c r="R25">
        <v>500</v>
      </c>
      <c r="S25">
        <v>221</v>
      </c>
      <c r="T25">
        <v>281.755</v>
      </c>
      <c r="V25">
        <v>1.7271628895961311E-3</v>
      </c>
      <c r="W25">
        <v>0.50062692452061774</v>
      </c>
      <c r="X25">
        <v>50.062692452061775</v>
      </c>
      <c r="Y25">
        <v>325295.94202898548</v>
      </c>
      <c r="Z25">
        <v>-0.74877777777777865</v>
      </c>
      <c r="AA25" s="6">
        <v>0.10570217886724924</v>
      </c>
      <c r="AB25">
        <v>2</v>
      </c>
      <c r="AD25" s="2">
        <f>V25/AC23</f>
        <v>0.21315937083961145</v>
      </c>
    </row>
    <row r="26" spans="1:40" x14ac:dyDescent="0.2">
      <c r="A26" t="s">
        <v>72</v>
      </c>
      <c r="B26" t="s">
        <v>45</v>
      </c>
      <c r="C26" s="4">
        <v>2730</v>
      </c>
      <c r="D26">
        <v>9</v>
      </c>
      <c r="E26" t="s">
        <v>49</v>
      </c>
      <c r="F26">
        <v>3.2799999999999999E-3</v>
      </c>
      <c r="G26">
        <v>4.48E-2</v>
      </c>
      <c r="I26">
        <f>G26/H23</f>
        <v>0.23009758602978941</v>
      </c>
      <c r="J26" t="s">
        <v>23</v>
      </c>
      <c r="K26" s="1">
        <v>45800.727384259262</v>
      </c>
      <c r="L26">
        <v>1014.23</v>
      </c>
      <c r="M26">
        <v>212008.065</v>
      </c>
      <c r="N26">
        <v>2398.1509999999998</v>
      </c>
      <c r="O26">
        <v>7.6980000000000004</v>
      </c>
      <c r="P26">
        <v>4.7629999999999999</v>
      </c>
      <c r="Q26">
        <v>6.8000000000000005E-2</v>
      </c>
      <c r="R26">
        <v>500</v>
      </c>
      <c r="S26">
        <v>206</v>
      </c>
      <c r="T26">
        <v>262.22899999999998</v>
      </c>
      <c r="V26">
        <v>1.5564600736107522E-3</v>
      </c>
      <c r="W26">
        <v>0.47453051024718057</v>
      </c>
      <c r="X26">
        <v>47.453051024718057</v>
      </c>
      <c r="Y26">
        <v>309216.46341463417</v>
      </c>
      <c r="Z26">
        <v>0.43922222222222196</v>
      </c>
      <c r="AA26" s="6">
        <v>0.10570217886724924</v>
      </c>
      <c r="AB26">
        <v>1</v>
      </c>
      <c r="AD26" s="2">
        <f>V26/AC23</f>
        <v>0.19209192834465266</v>
      </c>
      <c r="AH26" s="2">
        <f>V26</f>
        <v>1.5564600736107522E-3</v>
      </c>
      <c r="AI26">
        <f>AD26</f>
        <v>0.19209192834465266</v>
      </c>
      <c r="AJ26">
        <f>Z26</f>
        <v>0.43922222222222196</v>
      </c>
      <c r="AN26" s="2"/>
    </row>
    <row r="27" spans="1:40" x14ac:dyDescent="0.2">
      <c r="A27" t="s">
        <v>110</v>
      </c>
      <c r="B27" t="s">
        <v>45</v>
      </c>
      <c r="C27" s="4">
        <v>688</v>
      </c>
      <c r="D27">
        <v>10</v>
      </c>
      <c r="E27" t="s">
        <v>111</v>
      </c>
      <c r="F27">
        <v>4.5839999999999999E-2</v>
      </c>
      <c r="G27">
        <v>0.1714</v>
      </c>
      <c r="H27">
        <f>SUM(G27:G30)</f>
        <v>0.20999999999999996</v>
      </c>
      <c r="I27">
        <f>G27/H27</f>
        <v>0.81619047619047636</v>
      </c>
      <c r="J27" t="s">
        <v>112</v>
      </c>
      <c r="K27" s="1">
        <v>45810.857789351852</v>
      </c>
      <c r="L27">
        <v>1368.8340000000001</v>
      </c>
      <c r="M27">
        <v>318094.23</v>
      </c>
      <c r="N27">
        <v>3593.8139999999999</v>
      </c>
      <c r="O27">
        <v>6.7990000000000004</v>
      </c>
      <c r="P27">
        <v>9.8879999999999999</v>
      </c>
      <c r="Q27">
        <v>0.125</v>
      </c>
      <c r="R27">
        <v>500</v>
      </c>
      <c r="S27">
        <v>248</v>
      </c>
      <c r="T27">
        <v>316.05099999999999</v>
      </c>
      <c r="V27">
        <v>1.8815981433738735E-3</v>
      </c>
      <c r="W27">
        <v>4.1047079916533016E-2</v>
      </c>
      <c r="X27">
        <v>4.104707991653302</v>
      </c>
      <c r="Y27">
        <v>29861.125654450265</v>
      </c>
      <c r="Z27">
        <v>-0.43699999999999939</v>
      </c>
      <c r="AA27" s="6">
        <v>7.609131940562526E-2</v>
      </c>
      <c r="AB27">
        <v>4</v>
      </c>
      <c r="AC27" s="2">
        <f>SUM(V27:V30)</f>
        <v>1.1990487020442246E-2</v>
      </c>
      <c r="AD27" s="2">
        <f>V27/AC27</f>
        <v>0.15692424671041214</v>
      </c>
      <c r="AE27" s="11">
        <f>SUM(V27:V29)</f>
        <v>9.4172470204422452E-3</v>
      </c>
      <c r="AF27" s="11">
        <f>SUM(AD27:AD29)</f>
        <v>0.78539320416151925</v>
      </c>
      <c r="AG27" s="11">
        <f>SUM(Z27:Z29)</f>
        <v>0.44011111111111223</v>
      </c>
      <c r="AK27" s="4">
        <f>AH30/AE27</f>
        <v>0.2732475843963959</v>
      </c>
    </row>
    <row r="28" spans="1:40" x14ac:dyDescent="0.2">
      <c r="B28" t="s">
        <v>45</v>
      </c>
      <c r="C28" s="4">
        <v>688</v>
      </c>
      <c r="D28">
        <v>10</v>
      </c>
      <c r="E28" t="s">
        <v>52</v>
      </c>
      <c r="F28">
        <v>5.2940000000000001E-2</v>
      </c>
      <c r="G28">
        <v>1.8E-3</v>
      </c>
      <c r="I28">
        <f>G28/H27</f>
        <v>8.5714285714285719E-3</v>
      </c>
      <c r="J28" t="s">
        <v>142</v>
      </c>
      <c r="K28" s="1">
        <v>45848.642256944448</v>
      </c>
      <c r="L28">
        <v>2504.3939999999998</v>
      </c>
      <c r="M28">
        <v>694252.03500000003</v>
      </c>
      <c r="N28">
        <v>7845.6750000000002</v>
      </c>
      <c r="O28">
        <v>7.4420000000000002</v>
      </c>
      <c r="P28">
        <v>14.927</v>
      </c>
      <c r="Q28">
        <v>0.184</v>
      </c>
      <c r="R28">
        <v>300</v>
      </c>
      <c r="S28">
        <v>391</v>
      </c>
      <c r="T28">
        <v>495.63600000000002</v>
      </c>
      <c r="V28">
        <v>3.0823873919561865E-3</v>
      </c>
      <c r="W28">
        <v>5.8224166829546398E-2</v>
      </c>
      <c r="X28">
        <v>5.82241668295464</v>
      </c>
      <c r="Y28">
        <v>47306.271250472229</v>
      </c>
      <c r="Z28">
        <v>0.33955555555555605</v>
      </c>
      <c r="AA28" s="6">
        <v>0.21991948582814022</v>
      </c>
      <c r="AB28">
        <v>3</v>
      </c>
      <c r="AD28" s="2">
        <f>V28/AC27</f>
        <v>0.25706940733108757</v>
      </c>
    </row>
    <row r="29" spans="1:40" x14ac:dyDescent="0.2">
      <c r="B29" t="s">
        <v>45</v>
      </c>
      <c r="C29" s="4">
        <v>688</v>
      </c>
      <c r="D29">
        <v>10</v>
      </c>
      <c r="E29" t="s">
        <v>51</v>
      </c>
      <c r="F29">
        <v>4.4679999999999997E-2</v>
      </c>
      <c r="G29">
        <v>1.55E-2</v>
      </c>
      <c r="I29">
        <f>G29/H27</f>
        <v>7.3809523809523825E-2</v>
      </c>
      <c r="J29" t="s">
        <v>143</v>
      </c>
      <c r="K29" s="1">
        <v>45848.654131944444</v>
      </c>
      <c r="L29">
        <v>3482.7719999999999</v>
      </c>
      <c r="M29">
        <v>997467.52399999998</v>
      </c>
      <c r="N29">
        <v>11272.165999999999</v>
      </c>
      <c r="O29">
        <v>7.64</v>
      </c>
      <c r="P29">
        <v>10.518000000000001</v>
      </c>
      <c r="Q29">
        <v>0.13300000000000001</v>
      </c>
      <c r="R29">
        <v>300</v>
      </c>
      <c r="S29">
        <v>428</v>
      </c>
      <c r="T29">
        <v>543.11400000000003</v>
      </c>
      <c r="V29">
        <v>4.4532614851121848E-3</v>
      </c>
      <c r="W29">
        <v>9.9670131716924459E-2</v>
      </c>
      <c r="X29">
        <v>9.9670131716924466</v>
      </c>
      <c r="Y29">
        <v>77949.239033124439</v>
      </c>
      <c r="Z29">
        <v>0.53755555555555556</v>
      </c>
      <c r="AA29" s="6">
        <v>0.21991948582814022</v>
      </c>
      <c r="AB29">
        <v>2</v>
      </c>
      <c r="AD29" s="2">
        <f>V29/AC27</f>
        <v>0.37139955012001963</v>
      </c>
    </row>
    <row r="30" spans="1:40" x14ac:dyDescent="0.2">
      <c r="B30" t="s">
        <v>45</v>
      </c>
      <c r="C30" s="4">
        <v>688</v>
      </c>
      <c r="D30">
        <v>10</v>
      </c>
      <c r="E30" t="s">
        <v>49</v>
      </c>
      <c r="F30">
        <v>4.6550000000000001E-2</v>
      </c>
      <c r="G30">
        <v>2.1299999999999999E-2</v>
      </c>
      <c r="I30">
        <f>G30/H27</f>
        <v>0.10142857142857144</v>
      </c>
      <c r="J30" t="s">
        <v>144</v>
      </c>
      <c r="K30" s="1">
        <v>45848.665092592593</v>
      </c>
      <c r="L30">
        <v>2072.924</v>
      </c>
      <c r="M30">
        <v>581636.22600000002</v>
      </c>
      <c r="N30">
        <v>6580.0590000000002</v>
      </c>
      <c r="O30">
        <v>8.3710000000000004</v>
      </c>
      <c r="P30">
        <v>14.368</v>
      </c>
      <c r="Q30">
        <v>0.17499999999999999</v>
      </c>
      <c r="R30">
        <v>300</v>
      </c>
      <c r="S30">
        <v>377</v>
      </c>
      <c r="T30">
        <v>478.36599999999999</v>
      </c>
      <c r="V30" s="10">
        <v>2.5732400000000001E-3</v>
      </c>
      <c r="W30" s="10">
        <v>5.5279000000000002E-2</v>
      </c>
      <c r="X30" s="10">
        <v>5.5279003800000002</v>
      </c>
      <c r="Y30" s="10">
        <v>44531.127800000002</v>
      </c>
      <c r="Z30" s="10">
        <v>1.26855556</v>
      </c>
      <c r="AA30" s="10">
        <v>0.21991949</v>
      </c>
      <c r="AB30">
        <v>1</v>
      </c>
      <c r="AD30" s="2">
        <f>V30/AC27</f>
        <v>0.21460679583848055</v>
      </c>
      <c r="AH30" s="2">
        <f>V30</f>
        <v>2.5732400000000001E-3</v>
      </c>
      <c r="AI30">
        <f>AD30</f>
        <v>0.21460679583848055</v>
      </c>
      <c r="AJ30">
        <f>Z30</f>
        <v>1.26855556</v>
      </c>
      <c r="AN30" s="2"/>
    </row>
    <row r="31" spans="1:40" x14ac:dyDescent="0.2">
      <c r="A31" t="s">
        <v>113</v>
      </c>
      <c r="B31" t="s">
        <v>45</v>
      </c>
      <c r="C31" s="4">
        <v>2740</v>
      </c>
      <c r="D31">
        <v>11</v>
      </c>
      <c r="E31" t="s">
        <v>111</v>
      </c>
      <c r="F31">
        <v>1.0030000000000001E-2</v>
      </c>
      <c r="G31">
        <v>3.73E-2</v>
      </c>
      <c r="H31">
        <f>SUM(G31:G34)</f>
        <v>0.19329999999999997</v>
      </c>
      <c r="I31">
        <f>G31/H31</f>
        <v>0.19296430419037769</v>
      </c>
      <c r="J31" t="s">
        <v>114</v>
      </c>
      <c r="K31" s="1">
        <v>45810.698263888888</v>
      </c>
      <c r="L31">
        <v>2786.636</v>
      </c>
      <c r="M31">
        <v>737055.78300000005</v>
      </c>
      <c r="N31">
        <v>8325.1219999999994</v>
      </c>
      <c r="O31">
        <v>7.09</v>
      </c>
      <c r="P31">
        <v>15.275</v>
      </c>
      <c r="Q31">
        <v>0.186</v>
      </c>
      <c r="R31">
        <v>500</v>
      </c>
      <c r="S31">
        <v>338</v>
      </c>
      <c r="T31">
        <v>431.19499999999999</v>
      </c>
      <c r="V31">
        <v>4.0225747586769244E-3</v>
      </c>
      <c r="W31">
        <v>0.4010543129289057</v>
      </c>
      <c r="X31">
        <v>40.105431292890572</v>
      </c>
      <c r="Y31">
        <v>277830.109670987</v>
      </c>
      <c r="Z31">
        <v>-0.14599999999999991</v>
      </c>
      <c r="AA31" s="6">
        <v>7.609131940562526E-2</v>
      </c>
      <c r="AB31">
        <v>4</v>
      </c>
      <c r="AC31" s="2">
        <f>SUM(V31:V34)</f>
        <v>1.3785808277004232E-2</v>
      </c>
      <c r="AD31" s="2">
        <f>V31/AC31</f>
        <v>0.29179099823888327</v>
      </c>
      <c r="AE31" s="11">
        <f>SUM(V31:V33)</f>
        <v>1.0647284527242378E-2</v>
      </c>
      <c r="AF31" s="11">
        <f>SUM(AD31:AD33)</f>
        <v>0.77233661699784784</v>
      </c>
      <c r="AG31" s="11">
        <f>SUM(Z31:Z33)</f>
        <v>-0.77499999999999947</v>
      </c>
      <c r="AK31" s="4">
        <f>AH34/AE31</f>
        <v>0.29477222494914618</v>
      </c>
    </row>
    <row r="32" spans="1:40" x14ac:dyDescent="0.2">
      <c r="A32" t="s">
        <v>115</v>
      </c>
      <c r="B32" t="s">
        <v>45</v>
      </c>
      <c r="C32" s="4">
        <v>2740</v>
      </c>
      <c r="D32">
        <v>11</v>
      </c>
      <c r="E32" t="s">
        <v>52</v>
      </c>
      <c r="F32">
        <v>9.3200000000000002E-3</v>
      </c>
      <c r="G32">
        <v>5.7299999999999997E-2</v>
      </c>
      <c r="I32">
        <f>G32/H31</f>
        <v>0.29643041903776518</v>
      </c>
      <c r="J32" t="s">
        <v>116</v>
      </c>
      <c r="K32" s="1">
        <v>45810.823888888888</v>
      </c>
      <c r="L32">
        <v>1894.25</v>
      </c>
      <c r="M32">
        <v>473546.81099999999</v>
      </c>
      <c r="N32">
        <v>5349.8059999999996</v>
      </c>
      <c r="O32">
        <v>7.0289999999999999</v>
      </c>
      <c r="P32">
        <v>4.9489999999999998</v>
      </c>
      <c r="Q32">
        <v>7.0000000000000007E-2</v>
      </c>
      <c r="R32">
        <v>500</v>
      </c>
      <c r="S32">
        <v>291</v>
      </c>
      <c r="T32">
        <v>371.16899999999998</v>
      </c>
      <c r="V32">
        <v>2.6759916583069809E-3</v>
      </c>
      <c r="W32">
        <v>0.28712356848787346</v>
      </c>
      <c r="X32">
        <v>28.712356848787344</v>
      </c>
      <c r="Y32">
        <v>203245.70815450643</v>
      </c>
      <c r="Z32">
        <v>-0.20699999999999985</v>
      </c>
      <c r="AA32" s="6">
        <v>7.609131940562526E-2</v>
      </c>
      <c r="AB32">
        <v>3</v>
      </c>
      <c r="AD32" s="2">
        <f>V32/AC31</f>
        <v>0.19411206108028767</v>
      </c>
    </row>
    <row r="33" spans="1:40" x14ac:dyDescent="0.2">
      <c r="A33" t="s">
        <v>117</v>
      </c>
      <c r="B33" t="s">
        <v>45</v>
      </c>
      <c r="C33" s="4">
        <v>2740</v>
      </c>
      <c r="D33">
        <v>11</v>
      </c>
      <c r="E33" t="s">
        <v>51</v>
      </c>
      <c r="F33">
        <v>9.6699999999999998E-3</v>
      </c>
      <c r="G33">
        <v>3.4000000000000002E-2</v>
      </c>
      <c r="I33">
        <f>G33/H31</f>
        <v>0.17589239524055875</v>
      </c>
      <c r="J33" t="s">
        <v>118</v>
      </c>
      <c r="K33" s="1">
        <v>45810.847361111111</v>
      </c>
      <c r="L33">
        <v>2728.078</v>
      </c>
      <c r="M33">
        <v>722602.98800000001</v>
      </c>
      <c r="N33">
        <v>8159.8059999999996</v>
      </c>
      <c r="O33">
        <v>6.8140000000000001</v>
      </c>
      <c r="P33">
        <v>2.2709999999999999</v>
      </c>
      <c r="Q33">
        <v>3.9E-2</v>
      </c>
      <c r="R33">
        <v>500</v>
      </c>
      <c r="S33">
        <v>335</v>
      </c>
      <c r="T33">
        <v>428.13099999999997</v>
      </c>
      <c r="V33">
        <v>3.9487181102584737E-3</v>
      </c>
      <c r="W33">
        <v>0.40834727096778428</v>
      </c>
      <c r="X33">
        <v>40.83472709677843</v>
      </c>
      <c r="Y33">
        <v>282117.68355739402</v>
      </c>
      <c r="Z33">
        <v>-0.42199999999999971</v>
      </c>
      <c r="AA33" s="6">
        <v>7.609131940562526E-2</v>
      </c>
      <c r="AB33">
        <v>2</v>
      </c>
      <c r="AD33" s="2">
        <f>V33/AC31</f>
        <v>0.28643355767867695</v>
      </c>
    </row>
    <row r="34" spans="1:40" x14ac:dyDescent="0.2">
      <c r="A34" t="s">
        <v>119</v>
      </c>
      <c r="B34" t="s">
        <v>45</v>
      </c>
      <c r="C34" s="4">
        <v>2740</v>
      </c>
      <c r="D34">
        <v>11</v>
      </c>
      <c r="E34" t="s">
        <v>108</v>
      </c>
      <c r="F34">
        <v>9.4000000000000004E-3</v>
      </c>
      <c r="G34">
        <v>6.4699999999999994E-2</v>
      </c>
      <c r="I34">
        <f>G34/H31</f>
        <v>0.33471288153129852</v>
      </c>
      <c r="J34" t="s">
        <v>120</v>
      </c>
      <c r="K34" s="1">
        <v>45810.915914351855</v>
      </c>
      <c r="L34">
        <v>2163.0189999999998</v>
      </c>
      <c r="M34">
        <v>564058.38500000001</v>
      </c>
      <c r="N34">
        <v>6373.866</v>
      </c>
      <c r="O34">
        <v>7.3550000000000004</v>
      </c>
      <c r="P34">
        <v>6.484</v>
      </c>
      <c r="Q34">
        <v>8.5000000000000006E-2</v>
      </c>
      <c r="R34">
        <v>500</v>
      </c>
      <c r="S34">
        <v>313</v>
      </c>
      <c r="T34">
        <v>399.685</v>
      </c>
      <c r="V34">
        <v>3.138523749761854E-3</v>
      </c>
      <c r="W34">
        <v>0.33388550529381422</v>
      </c>
      <c r="X34">
        <v>33.388550529381419</v>
      </c>
      <c r="Y34">
        <v>230108.40425531912</v>
      </c>
      <c r="Z34">
        <v>0.11900000000000066</v>
      </c>
      <c r="AA34" s="6">
        <v>7.609131940562526E-2</v>
      </c>
      <c r="AB34">
        <v>1</v>
      </c>
      <c r="AD34" s="2">
        <f>V34/AC31</f>
        <v>0.22766338300215216</v>
      </c>
      <c r="AH34" s="2">
        <f>V34</f>
        <v>3.138523749761854E-3</v>
      </c>
      <c r="AI34">
        <f>AD34</f>
        <v>0.22766338300215216</v>
      </c>
      <c r="AJ34">
        <f>Z34</f>
        <v>0.11900000000000066</v>
      </c>
      <c r="AN34" s="2"/>
    </row>
    <row r="35" spans="1:40" x14ac:dyDescent="0.2">
      <c r="A35" t="s">
        <v>121</v>
      </c>
      <c r="B35" t="s">
        <v>45</v>
      </c>
      <c r="C35" s="4">
        <v>1060</v>
      </c>
      <c r="D35">
        <v>12</v>
      </c>
      <c r="E35" t="s">
        <v>111</v>
      </c>
      <c r="F35">
        <v>1.174E-2</v>
      </c>
      <c r="G35">
        <v>0.1089</v>
      </c>
      <c r="H35">
        <f>SUM(G35:G38)</f>
        <v>0.26529999999999998</v>
      </c>
      <c r="I35">
        <f>G35/H35</f>
        <v>0.41047870335469283</v>
      </c>
      <c r="J35" t="s">
        <v>122</v>
      </c>
      <c r="K35" s="1">
        <v>45810.800844907404</v>
      </c>
      <c r="L35">
        <v>1707.683</v>
      </c>
      <c r="M35">
        <v>418380.14</v>
      </c>
      <c r="N35">
        <v>4728.2950000000001</v>
      </c>
      <c r="O35">
        <v>7.2889999999999997</v>
      </c>
      <c r="P35">
        <v>4.8000000000000001E-2</v>
      </c>
      <c r="Q35">
        <v>1.2E-2</v>
      </c>
      <c r="R35">
        <v>500</v>
      </c>
      <c r="S35">
        <v>278</v>
      </c>
      <c r="T35">
        <v>354.39</v>
      </c>
      <c r="V35">
        <v>2.3940790300255093E-3</v>
      </c>
      <c r="W35">
        <v>0.20392495996810131</v>
      </c>
      <c r="X35">
        <v>20.39249599681013</v>
      </c>
      <c r="Y35">
        <v>145458.51788756388</v>
      </c>
      <c r="Z35">
        <v>5.2999999999999936E-2</v>
      </c>
      <c r="AA35" s="6">
        <v>7.609131940562526E-2</v>
      </c>
      <c r="AB35">
        <v>4</v>
      </c>
      <c r="AC35" s="2">
        <f>SUM(V35:V38)</f>
        <v>9.7724728390954103E-3</v>
      </c>
      <c r="AD35" s="2">
        <f>V35/AC35</f>
        <v>0.24498190677469486</v>
      </c>
      <c r="AE35" s="11">
        <f>SUM(V35:V37)</f>
        <v>7.1267847129110771E-3</v>
      </c>
      <c r="AF35" s="11">
        <f>SUM(AD35:AD37)</f>
        <v>0.72927137585892421</v>
      </c>
      <c r="AG35" s="11">
        <f>SUM(Z35:Z37)</f>
        <v>0.35255555555555596</v>
      </c>
      <c r="AK35" s="4">
        <f>AH38/AE35</f>
        <v>0.37123166094681276</v>
      </c>
    </row>
    <row r="36" spans="1:40" x14ac:dyDescent="0.2">
      <c r="B36" t="s">
        <v>45</v>
      </c>
      <c r="C36" s="4">
        <v>1060</v>
      </c>
      <c r="D36">
        <v>12</v>
      </c>
      <c r="E36" t="s">
        <v>46</v>
      </c>
      <c r="F36">
        <v>1.285E-2</v>
      </c>
      <c r="G36">
        <v>9.4999999999999998E-3</v>
      </c>
      <c r="I36">
        <f>G36/H35</f>
        <v>3.580851865812288E-2</v>
      </c>
      <c r="J36" t="s">
        <v>145</v>
      </c>
      <c r="K36" s="1">
        <v>45848.676377314812</v>
      </c>
      <c r="L36">
        <v>1811.0989999999999</v>
      </c>
      <c r="M36">
        <v>503700.81099999999</v>
      </c>
      <c r="N36">
        <v>5693.393</v>
      </c>
      <c r="O36">
        <v>7.3840000000000003</v>
      </c>
      <c r="P36">
        <v>10.162000000000001</v>
      </c>
      <c r="Q36">
        <v>0.128</v>
      </c>
      <c r="R36">
        <v>300</v>
      </c>
      <c r="S36">
        <v>363</v>
      </c>
      <c r="T36">
        <v>459.87400000000002</v>
      </c>
      <c r="V36">
        <v>2.2208821394960601E-3</v>
      </c>
      <c r="W36">
        <v>0.17283129490241711</v>
      </c>
      <c r="X36">
        <v>17.283129490241713</v>
      </c>
      <c r="Y36">
        <v>140941.55642023345</v>
      </c>
      <c r="Z36">
        <v>0.28155555555555623</v>
      </c>
      <c r="AA36" s="6">
        <v>0.21991948582814022</v>
      </c>
      <c r="AB36">
        <v>3</v>
      </c>
      <c r="AD36" s="2">
        <f>V36/AC35</f>
        <v>0.227258972837589</v>
      </c>
    </row>
    <row r="37" spans="1:40" x14ac:dyDescent="0.2">
      <c r="A37" t="s">
        <v>123</v>
      </c>
      <c r="B37" t="s">
        <v>45</v>
      </c>
      <c r="C37" s="4">
        <v>1060</v>
      </c>
      <c r="D37">
        <v>12</v>
      </c>
      <c r="E37" t="s">
        <v>51</v>
      </c>
      <c r="F37">
        <v>1.1469999999999999E-2</v>
      </c>
      <c r="G37">
        <v>8.1000000000000003E-2</v>
      </c>
      <c r="I37">
        <f>G37/H35</f>
        <v>0.30531473803241616</v>
      </c>
      <c r="J37" t="s">
        <v>124</v>
      </c>
      <c r="K37" s="1">
        <v>45810.904108796298</v>
      </c>
      <c r="L37">
        <v>1786.4110000000001</v>
      </c>
      <c r="M37">
        <v>441421.22499999998</v>
      </c>
      <c r="N37">
        <v>4988.393</v>
      </c>
      <c r="O37">
        <v>7.2539999999999996</v>
      </c>
      <c r="P37">
        <v>7.98</v>
      </c>
      <c r="Q37">
        <v>0.104</v>
      </c>
      <c r="R37">
        <v>500</v>
      </c>
      <c r="S37">
        <v>283</v>
      </c>
      <c r="T37">
        <v>362.07299999999998</v>
      </c>
      <c r="V37">
        <v>2.5118235433895077E-3</v>
      </c>
      <c r="W37">
        <v>0.21899071869132589</v>
      </c>
      <c r="X37">
        <v>21.899071869132587</v>
      </c>
      <c r="Y37">
        <v>155746.38186573671</v>
      </c>
      <c r="Z37">
        <v>1.7999999999999794E-2</v>
      </c>
      <c r="AA37" s="6">
        <v>7.609131940562526E-2</v>
      </c>
      <c r="AB37">
        <v>2</v>
      </c>
      <c r="AD37" s="2">
        <f>V37/AC35</f>
        <v>0.25703049624664037</v>
      </c>
    </row>
    <row r="38" spans="1:40" x14ac:dyDescent="0.2">
      <c r="A38" t="s">
        <v>125</v>
      </c>
      <c r="B38" t="s">
        <v>45</v>
      </c>
      <c r="C38" s="4">
        <v>1060</v>
      </c>
      <c r="D38">
        <v>12</v>
      </c>
      <c r="E38" t="s">
        <v>108</v>
      </c>
      <c r="F38">
        <v>1.174E-2</v>
      </c>
      <c r="G38">
        <v>6.59E-2</v>
      </c>
      <c r="I38">
        <f>G38/H35</f>
        <v>0.2483980399547682</v>
      </c>
      <c r="J38" t="s">
        <v>126</v>
      </c>
      <c r="K38" s="1">
        <v>45810.743576388886</v>
      </c>
      <c r="L38">
        <v>1872.9970000000001</v>
      </c>
      <c r="M38">
        <v>467616.8</v>
      </c>
      <c r="N38">
        <v>5285.9290000000001</v>
      </c>
      <c r="O38">
        <v>7.593</v>
      </c>
      <c r="P38">
        <v>4.6689999999999996</v>
      </c>
      <c r="Q38">
        <v>6.6000000000000003E-2</v>
      </c>
      <c r="R38">
        <v>500</v>
      </c>
      <c r="S38">
        <v>290</v>
      </c>
      <c r="T38">
        <v>368.81900000000002</v>
      </c>
      <c r="V38">
        <v>2.6456881261843332E-3</v>
      </c>
      <c r="W38">
        <v>0.22535673987941507</v>
      </c>
      <c r="X38">
        <v>22.535673987941507</v>
      </c>
      <c r="Y38">
        <v>159539.77853492333</v>
      </c>
      <c r="Z38">
        <v>0.35700000000000021</v>
      </c>
      <c r="AA38" s="6">
        <v>7.609131940562526E-2</v>
      </c>
      <c r="AB38">
        <v>1</v>
      </c>
      <c r="AD38" s="2">
        <f>V38/AC35</f>
        <v>0.27072862414107579</v>
      </c>
      <c r="AH38" s="2">
        <f>V38</f>
        <v>2.6456881261843332E-3</v>
      </c>
      <c r="AI38">
        <f>AD38</f>
        <v>0.27072862414107579</v>
      </c>
      <c r="AJ38">
        <f>Z38</f>
        <v>0.35700000000000021</v>
      </c>
      <c r="AN38" s="2"/>
    </row>
    <row r="39" spans="1:40" x14ac:dyDescent="0.2">
      <c r="A39" t="s">
        <v>127</v>
      </c>
      <c r="B39" t="s">
        <v>45</v>
      </c>
      <c r="C39" s="4">
        <v>1132</v>
      </c>
      <c r="D39">
        <v>16</v>
      </c>
      <c r="E39" t="s">
        <v>111</v>
      </c>
      <c r="F39">
        <v>3.074E-2</v>
      </c>
      <c r="G39">
        <v>4.4699999999999997E-2</v>
      </c>
      <c r="H39">
        <f>SUM(G39:G42)</f>
        <v>0.26249999999999996</v>
      </c>
      <c r="I39">
        <f>G39/H39</f>
        <v>0.17028571428571429</v>
      </c>
      <c r="J39" t="s">
        <v>128</v>
      </c>
      <c r="K39" s="1">
        <v>45810.833541666667</v>
      </c>
      <c r="L39">
        <v>655.49400000000003</v>
      </c>
      <c r="M39">
        <v>92644.031000000003</v>
      </c>
      <c r="N39">
        <v>1047.6199999999999</v>
      </c>
      <c r="O39">
        <v>6.819</v>
      </c>
      <c r="P39">
        <v>6.6950000000000003</v>
      </c>
      <c r="Q39">
        <v>8.8999999999999996E-2</v>
      </c>
      <c r="R39">
        <v>500</v>
      </c>
      <c r="S39">
        <v>122</v>
      </c>
      <c r="T39">
        <v>154.38399999999999</v>
      </c>
      <c r="V39">
        <v>7.2950292003384775E-4</v>
      </c>
      <c r="W39">
        <v>2.373138972133532E-2</v>
      </c>
      <c r="X39">
        <v>2.3731389721335319</v>
      </c>
      <c r="Y39">
        <v>21323.812621990892</v>
      </c>
      <c r="Z39">
        <v>-0.41699999999999982</v>
      </c>
      <c r="AA39" s="6">
        <v>7.609131940562526E-2</v>
      </c>
      <c r="AB39">
        <v>4</v>
      </c>
      <c r="AC39" s="2">
        <f>SUM(V39:V42)</f>
        <v>1.0747808956086236E-2</v>
      </c>
      <c r="AD39" s="2">
        <f>V39/AC39</f>
        <v>6.7874570809220339E-2</v>
      </c>
      <c r="AE39" s="11">
        <f>SUM(V39:V41)</f>
        <v>6.1336321973744267E-3</v>
      </c>
      <c r="AF39" s="11">
        <f>SUM(AD39:AD41)</f>
        <v>0.5706867532196962</v>
      </c>
      <c r="AG39" s="11">
        <f>SUM(Z39:Z41)</f>
        <v>-0.78499999999999925</v>
      </c>
      <c r="AK39" s="4">
        <f>AH42/AE39</f>
        <v>0.75227477133157095</v>
      </c>
    </row>
    <row r="40" spans="1:40" x14ac:dyDescent="0.2">
      <c r="A40" t="s">
        <v>129</v>
      </c>
      <c r="B40" t="s">
        <v>45</v>
      </c>
      <c r="C40" s="4">
        <v>1132</v>
      </c>
      <c r="D40">
        <v>16</v>
      </c>
      <c r="E40" t="s">
        <v>52</v>
      </c>
      <c r="F40">
        <v>2.1090000000000001E-2</v>
      </c>
      <c r="G40">
        <v>8.5999999999999993E-2</v>
      </c>
      <c r="I40">
        <f>G40/H39</f>
        <v>0.32761904761904764</v>
      </c>
      <c r="J40" t="s">
        <v>130</v>
      </c>
      <c r="K40" s="1">
        <v>45810.881018518521</v>
      </c>
      <c r="L40">
        <v>1617.9770000000001</v>
      </c>
      <c r="M40">
        <v>392916.82900000003</v>
      </c>
      <c r="N40">
        <v>4439.8370000000004</v>
      </c>
      <c r="O40">
        <v>7.101</v>
      </c>
      <c r="P40">
        <v>5.6539999999999999</v>
      </c>
      <c r="Q40">
        <v>7.6999999999999999E-2</v>
      </c>
      <c r="R40">
        <v>500</v>
      </c>
      <c r="S40">
        <v>272</v>
      </c>
      <c r="T40">
        <v>346.60399999999998</v>
      </c>
      <c r="V40">
        <v>2.2639564614775811E-3</v>
      </c>
      <c r="W40">
        <v>0.10734739030239834</v>
      </c>
      <c r="X40">
        <v>10.734739030239835</v>
      </c>
      <c r="Y40">
        <v>76717.733522996685</v>
      </c>
      <c r="Z40">
        <v>-0.13499999999999979</v>
      </c>
      <c r="AA40" s="6">
        <v>7.609131940562526E-2</v>
      </c>
      <c r="AB40">
        <v>3</v>
      </c>
      <c r="AD40" s="2">
        <f>V40/AC39</f>
        <v>0.21064353401960639</v>
      </c>
    </row>
    <row r="41" spans="1:40" x14ac:dyDescent="0.2">
      <c r="A41" t="s">
        <v>131</v>
      </c>
      <c r="B41" t="s">
        <v>45</v>
      </c>
      <c r="C41" s="4">
        <v>1132</v>
      </c>
      <c r="D41">
        <v>16</v>
      </c>
      <c r="E41" s="7" t="s">
        <v>51</v>
      </c>
      <c r="F41">
        <v>3.0800000000000001E-2</v>
      </c>
      <c r="G41">
        <v>6.4100000000000004E-2</v>
      </c>
      <c r="I41">
        <f>G41/H39</f>
        <v>0.24419047619047624</v>
      </c>
      <c r="J41" t="s">
        <v>132</v>
      </c>
      <c r="K41" s="1">
        <v>45810.675081018519</v>
      </c>
      <c r="L41">
        <v>2189.6320000000001</v>
      </c>
      <c r="M41">
        <v>564381.08600000001</v>
      </c>
      <c r="N41">
        <v>6375.2280000000001</v>
      </c>
      <c r="O41">
        <v>7.0030000000000001</v>
      </c>
      <c r="P41">
        <v>0.11</v>
      </c>
      <c r="Q41">
        <v>1.4E-2</v>
      </c>
      <c r="R41">
        <v>500</v>
      </c>
      <c r="S41">
        <v>311</v>
      </c>
      <c r="T41">
        <v>396.68900000000002</v>
      </c>
      <c r="V41">
        <v>3.1401728158629979E-3</v>
      </c>
      <c r="W41">
        <v>0.10195366285269473</v>
      </c>
      <c r="X41">
        <v>10.195366285269474</v>
      </c>
      <c r="Y41">
        <v>71091.948051948057</v>
      </c>
      <c r="Z41">
        <v>-0.23299999999999965</v>
      </c>
      <c r="AA41" s="6">
        <v>7.609131940562526E-2</v>
      </c>
      <c r="AB41">
        <v>2</v>
      </c>
      <c r="AD41" s="2">
        <f>V41/AC39</f>
        <v>0.29216864839086953</v>
      </c>
    </row>
    <row r="42" spans="1:40" x14ac:dyDescent="0.2">
      <c r="A42" t="s">
        <v>133</v>
      </c>
      <c r="B42" t="s">
        <v>45</v>
      </c>
      <c r="C42" s="4">
        <v>1132</v>
      </c>
      <c r="D42">
        <v>16</v>
      </c>
      <c r="E42" t="s">
        <v>108</v>
      </c>
      <c r="F42">
        <v>3.0890000000000001E-2</v>
      </c>
      <c r="G42">
        <v>6.7699999999999996E-2</v>
      </c>
      <c r="I42">
        <f>G42/H39</f>
        <v>0.25790476190476191</v>
      </c>
      <c r="J42" t="s">
        <v>134</v>
      </c>
      <c r="K42" s="1">
        <v>45810.721400462964</v>
      </c>
      <c r="L42">
        <v>3143.797</v>
      </c>
      <c r="M42">
        <v>852824.67599999998</v>
      </c>
      <c r="N42">
        <v>9637.2450000000008</v>
      </c>
      <c r="O42">
        <v>7.6</v>
      </c>
      <c r="P42">
        <v>9.7780000000000005</v>
      </c>
      <c r="Q42">
        <v>0.122</v>
      </c>
      <c r="R42">
        <v>500</v>
      </c>
      <c r="S42">
        <v>355</v>
      </c>
      <c r="T42">
        <v>453.30099999999999</v>
      </c>
      <c r="V42">
        <v>4.614176758711808E-3</v>
      </c>
      <c r="W42">
        <v>0.14937444994211097</v>
      </c>
      <c r="X42">
        <v>14.937444994211097</v>
      </c>
      <c r="Y42">
        <v>101773.93978633863</v>
      </c>
      <c r="Z42">
        <v>0.36399999999999988</v>
      </c>
      <c r="AA42" s="6">
        <v>7.609131940562526E-2</v>
      </c>
      <c r="AB42">
        <v>1</v>
      </c>
      <c r="AD42" s="2">
        <f>V42/AC39</f>
        <v>0.42931324678030369</v>
      </c>
      <c r="AH42" s="2">
        <f>V42</f>
        <v>4.614176758711808E-3</v>
      </c>
      <c r="AI42">
        <f>AD42</f>
        <v>0.42931324678030369</v>
      </c>
      <c r="AJ42">
        <f>Z42</f>
        <v>0.36399999999999988</v>
      </c>
      <c r="AN42" s="2"/>
    </row>
    <row r="43" spans="1:40" x14ac:dyDescent="0.2">
      <c r="B43" t="s">
        <v>45</v>
      </c>
      <c r="C43" s="4">
        <v>209</v>
      </c>
      <c r="D43">
        <v>16.2</v>
      </c>
      <c r="E43" t="s">
        <v>111</v>
      </c>
      <c r="F43">
        <v>0.20200000000000001</v>
      </c>
      <c r="G43">
        <v>9.3700000000000006E-2</v>
      </c>
      <c r="H43">
        <f>SUM(G43:G46)</f>
        <v>0.27990000000000004</v>
      </c>
      <c r="I43">
        <f>G43/H43</f>
        <v>0.33476241514826721</v>
      </c>
      <c r="J43" t="s">
        <v>146</v>
      </c>
      <c r="K43" s="1">
        <v>45848.688703703701</v>
      </c>
      <c r="L43">
        <v>3781.5650000000001</v>
      </c>
      <c r="M43">
        <v>1091257.889</v>
      </c>
      <c r="N43">
        <v>12310.501</v>
      </c>
      <c r="O43">
        <v>5.9349999999999996</v>
      </c>
      <c r="P43">
        <v>8.8239999999999998</v>
      </c>
      <c r="Q43">
        <v>0.113</v>
      </c>
      <c r="R43">
        <v>300</v>
      </c>
      <c r="S43">
        <v>437</v>
      </c>
      <c r="T43">
        <v>555.28800000000001</v>
      </c>
      <c r="V43">
        <v>4.8772991290669272E-3</v>
      </c>
      <c r="W43">
        <v>2.4145045193400629E-2</v>
      </c>
      <c r="X43">
        <v>2.4145045193400629</v>
      </c>
      <c r="Y43">
        <v>18720.618811881188</v>
      </c>
      <c r="Z43">
        <v>-1.1674444444444445</v>
      </c>
      <c r="AA43" s="6">
        <v>0.21991948582814022</v>
      </c>
      <c r="AB43">
        <v>4</v>
      </c>
      <c r="AC43" s="2">
        <f>SUM(V43:V46)</f>
        <v>1.8228385000721492E-2</v>
      </c>
      <c r="AD43" s="2">
        <f>V43/AC43</f>
        <v>0.26756616830694985</v>
      </c>
      <c r="AE43" s="11">
        <f>SUM(V43:V45)</f>
        <v>1.5001340661446424E-2</v>
      </c>
      <c r="AF43" s="11">
        <f>SUM(AD43:AD45)</f>
        <v>0.82296597646213088</v>
      </c>
      <c r="AG43" s="11">
        <f>SUM(Z43:Z45)</f>
        <v>-3.5363333333333324</v>
      </c>
      <c r="AK43" s="4">
        <f>AH46/AE43</f>
        <v>0.21511706267484473</v>
      </c>
    </row>
    <row r="44" spans="1:40" x14ac:dyDescent="0.2">
      <c r="B44" t="s">
        <v>45</v>
      </c>
      <c r="C44" s="4">
        <v>209</v>
      </c>
      <c r="D44">
        <v>16.2</v>
      </c>
      <c r="E44" t="s">
        <v>52</v>
      </c>
      <c r="F44">
        <v>0.20085</v>
      </c>
      <c r="G44">
        <v>3.0999999999999999E-3</v>
      </c>
      <c r="I44">
        <f>G44/H43</f>
        <v>1.1075384065737761E-2</v>
      </c>
      <c r="J44" t="s">
        <v>147</v>
      </c>
      <c r="K44" s="1">
        <v>45848.734537037039</v>
      </c>
      <c r="L44">
        <v>3611.087</v>
      </c>
      <c r="M44">
        <v>1036768.425</v>
      </c>
      <c r="N44">
        <v>11694.216</v>
      </c>
      <c r="O44">
        <v>5.774</v>
      </c>
      <c r="P44">
        <v>4.7E-2</v>
      </c>
      <c r="Q44">
        <v>1.4999999999999999E-2</v>
      </c>
      <c r="R44">
        <v>300</v>
      </c>
      <c r="S44">
        <v>431</v>
      </c>
      <c r="T44">
        <v>547.096</v>
      </c>
      <c r="V44">
        <v>4.6309456370540042E-3</v>
      </c>
      <c r="W44">
        <v>0.23056737052795642</v>
      </c>
      <c r="X44">
        <v>23.056737052795643</v>
      </c>
      <c r="Y44">
        <v>179790.24147373662</v>
      </c>
      <c r="Z44">
        <v>-1.3284444444444441</v>
      </c>
      <c r="AA44" s="6">
        <v>0.21991948582814022</v>
      </c>
      <c r="AB44">
        <v>3</v>
      </c>
      <c r="AD44" s="2">
        <f>V44/AC43</f>
        <v>0.2540513400869418</v>
      </c>
    </row>
    <row r="45" spans="1:40" x14ac:dyDescent="0.2">
      <c r="B45" t="s">
        <v>45</v>
      </c>
      <c r="C45" s="4">
        <v>209</v>
      </c>
      <c r="D45">
        <v>16.2</v>
      </c>
      <c r="E45" s="7" t="s">
        <v>51</v>
      </c>
      <c r="F45">
        <v>0.20013</v>
      </c>
      <c r="G45">
        <v>8.6499999999999994E-2</v>
      </c>
      <c r="I45">
        <f>G45/H43</f>
        <v>0.3090389424794569</v>
      </c>
      <c r="J45" t="s">
        <v>148</v>
      </c>
      <c r="K45" s="1">
        <v>45848.746238425927</v>
      </c>
      <c r="L45">
        <v>4202.7889999999998</v>
      </c>
      <c r="M45">
        <v>1227462.314</v>
      </c>
      <c r="N45">
        <v>13847.824000000001</v>
      </c>
      <c r="O45">
        <v>6.0620000000000003</v>
      </c>
      <c r="P45">
        <v>15.257</v>
      </c>
      <c r="Q45">
        <v>0.186</v>
      </c>
      <c r="R45">
        <v>300</v>
      </c>
      <c r="S45">
        <v>450</v>
      </c>
      <c r="T45">
        <v>571.50300000000004</v>
      </c>
      <c r="V45">
        <v>5.4930958953254925E-3</v>
      </c>
      <c r="W45">
        <v>2.7447638511594926E-2</v>
      </c>
      <c r="X45">
        <v>2.7447638511594925</v>
      </c>
      <c r="Y45">
        <v>21000.294808374554</v>
      </c>
      <c r="Z45">
        <v>-1.0404444444444438</v>
      </c>
      <c r="AA45" s="6">
        <v>0.21991948582814022</v>
      </c>
      <c r="AB45">
        <v>2</v>
      </c>
      <c r="AD45" s="2">
        <f>V45/AC43</f>
        <v>0.30134846806823928</v>
      </c>
    </row>
    <row r="46" spans="1:40" x14ac:dyDescent="0.2">
      <c r="B46" t="s">
        <v>45</v>
      </c>
      <c r="C46" s="4">
        <v>209</v>
      </c>
      <c r="D46">
        <v>16.2</v>
      </c>
      <c r="E46" t="s">
        <v>108</v>
      </c>
      <c r="F46">
        <v>0.20454</v>
      </c>
      <c r="G46">
        <v>9.6600000000000005E-2</v>
      </c>
      <c r="I46">
        <f>G46/H43</f>
        <v>0.34512325830653801</v>
      </c>
      <c r="J46" t="s">
        <v>149</v>
      </c>
      <c r="K46" s="1">
        <v>45848.757199074076</v>
      </c>
      <c r="L46">
        <v>2531.1950000000002</v>
      </c>
      <c r="M46">
        <v>726247.84499999997</v>
      </c>
      <c r="N46">
        <v>8199.3709999999992</v>
      </c>
      <c r="O46">
        <v>6.4870000000000001</v>
      </c>
      <c r="P46">
        <v>18.798999999999999</v>
      </c>
      <c r="Q46">
        <v>0.22500000000000001</v>
      </c>
      <c r="R46">
        <v>300</v>
      </c>
      <c r="S46">
        <v>402</v>
      </c>
      <c r="T46">
        <v>509.863</v>
      </c>
      <c r="V46">
        <v>3.2270443392750669E-3</v>
      </c>
      <c r="W46">
        <v>1.5777081936418632E-2</v>
      </c>
      <c r="X46">
        <v>1.5777081936418631</v>
      </c>
      <c r="Y46">
        <v>12375.061112740785</v>
      </c>
      <c r="Z46">
        <v>-0.61544444444444402</v>
      </c>
      <c r="AA46" s="6">
        <v>0.21991948582814022</v>
      </c>
      <c r="AB46">
        <v>1</v>
      </c>
      <c r="AD46" s="2">
        <f>V46/AC43</f>
        <v>0.17703402353786901</v>
      </c>
      <c r="AH46" s="2">
        <f>V46</f>
        <v>3.2270443392750669E-3</v>
      </c>
      <c r="AI46">
        <f>AD46</f>
        <v>0.17703402353786901</v>
      </c>
      <c r="AJ46">
        <f>Z46</f>
        <v>-0.61544444444444402</v>
      </c>
      <c r="AN46" s="2"/>
    </row>
    <row r="47" spans="1:40" x14ac:dyDescent="0.2">
      <c r="A47" t="s">
        <v>135</v>
      </c>
      <c r="B47" t="s">
        <v>45</v>
      </c>
      <c r="C47" s="4">
        <v>918</v>
      </c>
      <c r="D47">
        <v>18</v>
      </c>
      <c r="E47" t="s">
        <v>111</v>
      </c>
      <c r="F47">
        <v>5.8659999999999997E-2</v>
      </c>
      <c r="G47">
        <v>9.69E-2</v>
      </c>
      <c r="H47">
        <f>SUM(G47:G50)</f>
        <v>0.2702</v>
      </c>
      <c r="I47">
        <f>G47/H47</f>
        <v>0.35862324204293117</v>
      </c>
      <c r="J47" t="s">
        <v>136</v>
      </c>
      <c r="K47" s="1">
        <v>45810.892916666664</v>
      </c>
      <c r="L47">
        <v>2175.8200000000002</v>
      </c>
      <c r="M47">
        <v>555632.15500000003</v>
      </c>
      <c r="N47">
        <v>6279.6940000000004</v>
      </c>
      <c r="O47">
        <v>7.5</v>
      </c>
      <c r="P47">
        <v>5.7729999999999997</v>
      </c>
      <c r="Q47">
        <v>7.8E-2</v>
      </c>
      <c r="R47">
        <v>500</v>
      </c>
      <c r="S47">
        <v>307</v>
      </c>
      <c r="T47">
        <v>391.96199999999999</v>
      </c>
      <c r="V47">
        <v>3.0954640435525704E-3</v>
      </c>
      <c r="W47">
        <v>5.2769588195577408E-2</v>
      </c>
      <c r="X47">
        <v>5.2769588195577404</v>
      </c>
      <c r="Y47">
        <v>37092.055915444944</v>
      </c>
      <c r="Z47">
        <v>0.26400000000000023</v>
      </c>
      <c r="AA47" s="6">
        <v>7.609131940562526E-2</v>
      </c>
      <c r="AB47">
        <v>4</v>
      </c>
      <c r="AC47" s="2">
        <f>SUM(V47:V50)</f>
        <v>1.3327427654949948E-2</v>
      </c>
      <c r="AD47" s="2">
        <f>V47/AC47</f>
        <v>0.23226267841738255</v>
      </c>
      <c r="AE47" s="11">
        <f>SUM(V47:V49)</f>
        <v>7.4514275531560618E-3</v>
      </c>
      <c r="AF47" s="11">
        <f>SUM(AD47:AD49)</f>
        <v>0.5591047084310018</v>
      </c>
      <c r="AG47" s="11">
        <f>SUM(Z47:Z49)</f>
        <v>0.29555556000000049</v>
      </c>
      <c r="AK47" s="4">
        <f>AH50/AE47</f>
        <v>0.7885737410551753</v>
      </c>
    </row>
    <row r="48" spans="1:40" x14ac:dyDescent="0.2">
      <c r="B48" t="s">
        <v>45</v>
      </c>
      <c r="C48" s="4">
        <v>918</v>
      </c>
      <c r="D48">
        <v>18</v>
      </c>
      <c r="E48" t="s">
        <v>52</v>
      </c>
      <c r="F48">
        <v>6.0130000000000003E-2</v>
      </c>
      <c r="G48">
        <v>8.9999999999999998E-4</v>
      </c>
      <c r="I48">
        <f>G48/H47</f>
        <v>3.3308660251665434E-3</v>
      </c>
      <c r="J48" t="s">
        <v>150</v>
      </c>
      <c r="K48" s="1">
        <v>45848.768229166664</v>
      </c>
      <c r="L48">
        <v>2289.5619999999999</v>
      </c>
      <c r="M48">
        <v>623264.326</v>
      </c>
      <c r="N48">
        <v>7045.3339999999998</v>
      </c>
      <c r="O48">
        <v>7.6280000000000001</v>
      </c>
      <c r="P48">
        <v>12.86</v>
      </c>
      <c r="Q48">
        <v>0.158</v>
      </c>
      <c r="R48">
        <v>300</v>
      </c>
      <c r="S48">
        <v>376</v>
      </c>
      <c r="T48">
        <v>476.69</v>
      </c>
      <c r="V48" s="10">
        <v>2.76144E-3</v>
      </c>
      <c r="W48" s="10">
        <v>4.5924550000000001E-2</v>
      </c>
      <c r="X48" s="10">
        <v>4.5924552299999997</v>
      </c>
      <c r="Y48" s="10">
        <v>38076.866800000003</v>
      </c>
      <c r="Z48" s="10">
        <v>0.52555556000000003</v>
      </c>
      <c r="AA48" s="10">
        <v>0.21991949</v>
      </c>
      <c r="AB48">
        <v>3</v>
      </c>
      <c r="AD48" s="2">
        <f>V48/AC47</f>
        <v>0.20719977414203947</v>
      </c>
    </row>
    <row r="49" spans="1:40" x14ac:dyDescent="0.2">
      <c r="A49" t="s">
        <v>137</v>
      </c>
      <c r="B49" t="s">
        <v>45</v>
      </c>
      <c r="C49" s="4">
        <v>918</v>
      </c>
      <c r="D49">
        <v>18</v>
      </c>
      <c r="E49" t="s">
        <v>51</v>
      </c>
      <c r="F49">
        <v>5.7290000000000001E-2</v>
      </c>
      <c r="G49">
        <v>9.1999999999999998E-2</v>
      </c>
      <c r="I49">
        <f>G49/H47</f>
        <v>0.34048852701702442</v>
      </c>
      <c r="J49" t="s">
        <v>138</v>
      </c>
      <c r="K49" s="1">
        <v>45810.731435185182</v>
      </c>
      <c r="L49">
        <v>1181.068</v>
      </c>
      <c r="M49">
        <v>261917.421</v>
      </c>
      <c r="N49">
        <v>2959.3539999999998</v>
      </c>
      <c r="O49">
        <v>6.742</v>
      </c>
      <c r="P49">
        <v>11.888999999999999</v>
      </c>
      <c r="Q49">
        <v>0.14599999999999999</v>
      </c>
      <c r="R49">
        <v>500</v>
      </c>
      <c r="S49">
        <v>227</v>
      </c>
      <c r="T49">
        <v>289.721</v>
      </c>
      <c r="V49">
        <v>1.5945235096034907E-3</v>
      </c>
      <c r="W49">
        <v>2.7832492749231816E-2</v>
      </c>
      <c r="X49">
        <v>2.7832492749231816</v>
      </c>
      <c r="Y49">
        <v>20615.604817594693</v>
      </c>
      <c r="Z49">
        <v>-0.49399999999999977</v>
      </c>
      <c r="AA49" s="6">
        <v>7.609131940562526E-2</v>
      </c>
      <c r="AB49">
        <v>2</v>
      </c>
      <c r="AD49" s="2">
        <f>V49/AC47</f>
        <v>0.11964225587157983</v>
      </c>
    </row>
    <row r="50" spans="1:40" x14ac:dyDescent="0.2">
      <c r="A50" t="s">
        <v>139</v>
      </c>
      <c r="B50" t="s">
        <v>45</v>
      </c>
      <c r="C50" s="4">
        <v>918</v>
      </c>
      <c r="D50">
        <v>18</v>
      </c>
      <c r="E50" t="s">
        <v>108</v>
      </c>
      <c r="F50">
        <v>5.7090000000000002E-2</v>
      </c>
      <c r="G50">
        <v>8.0399999999999999E-2</v>
      </c>
      <c r="I50">
        <f>G50/H47</f>
        <v>0.29755736491487789</v>
      </c>
      <c r="J50" t="s">
        <v>140</v>
      </c>
      <c r="K50" s="1">
        <v>45810.687349537038</v>
      </c>
      <c r="L50">
        <v>3935.299</v>
      </c>
      <c r="M50">
        <v>1099747.2549999999</v>
      </c>
      <c r="N50">
        <v>12431.674999999999</v>
      </c>
      <c r="O50">
        <v>8.0640000000000001</v>
      </c>
      <c r="P50">
        <v>8.1229999999999993</v>
      </c>
      <c r="Q50">
        <v>0.104</v>
      </c>
      <c r="R50">
        <v>500</v>
      </c>
      <c r="S50">
        <v>380</v>
      </c>
      <c r="T50">
        <v>485.96199999999999</v>
      </c>
      <c r="V50">
        <v>5.8760001017938868E-3</v>
      </c>
      <c r="W50">
        <v>0.10292520759842155</v>
      </c>
      <c r="X50">
        <v>10.292520759842155</v>
      </c>
      <c r="Y50">
        <v>68931.49413207217</v>
      </c>
      <c r="Z50">
        <v>0.82800000000000029</v>
      </c>
      <c r="AA50" s="6">
        <v>7.609131940562526E-2</v>
      </c>
      <c r="AB50">
        <v>1</v>
      </c>
      <c r="AD50" s="2">
        <f>V50/AC47</f>
        <v>0.44089529156899815</v>
      </c>
      <c r="AH50" s="2">
        <f>V50</f>
        <v>5.8760001017938868E-3</v>
      </c>
      <c r="AI50">
        <f>AD50</f>
        <v>0.44089529156899815</v>
      </c>
      <c r="AJ50">
        <f>Z50</f>
        <v>0.82800000000000029</v>
      </c>
      <c r="AN50" s="2"/>
    </row>
  </sheetData>
  <sortState xmlns:xlrd2="http://schemas.microsoft.com/office/spreadsheetml/2017/richdata2" ref="A4:AI50">
    <sortCondition ref="D4:D50"/>
    <sortCondition descending="1" ref="AB4:AB50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95C05-8594-564D-A95F-8248259FB2D3}">
  <dimension ref="A1:I13"/>
  <sheetViews>
    <sheetView tabSelected="1" workbookViewId="0">
      <selection activeCell="H21" sqref="H21"/>
    </sheetView>
  </sheetViews>
  <sheetFormatPr baseColWidth="10" defaultRowHeight="16" x14ac:dyDescent="0.2"/>
  <sheetData>
    <row r="1" spans="1:9" x14ac:dyDescent="0.2">
      <c r="A1" t="s">
        <v>167</v>
      </c>
      <c r="B1" t="s">
        <v>168</v>
      </c>
      <c r="C1" t="s">
        <v>163</v>
      </c>
      <c r="D1" t="s">
        <v>164</v>
      </c>
      <c r="E1" t="s">
        <v>158</v>
      </c>
      <c r="F1" t="s">
        <v>160</v>
      </c>
      <c r="G1" t="s">
        <v>181</v>
      </c>
      <c r="H1" t="s">
        <v>182</v>
      </c>
      <c r="I1" s="14" t="s">
        <v>190</v>
      </c>
    </row>
    <row r="2" spans="1:9" x14ac:dyDescent="0.2">
      <c r="A2" t="s">
        <v>169</v>
      </c>
      <c r="B2" s="5">
        <v>1333</v>
      </c>
      <c r="C2">
        <v>0.83021537177024185</v>
      </c>
      <c r="D2">
        <v>0.16978462822975826</v>
      </c>
      <c r="E2">
        <v>1.0540445500129024E-2</v>
      </c>
      <c r="F2">
        <v>2.1555920083718948E-3</v>
      </c>
      <c r="G2">
        <v>-1.4224444444444435</v>
      </c>
      <c r="H2">
        <v>0.73200000000000021</v>
      </c>
      <c r="I2">
        <v>20</v>
      </c>
    </row>
    <row r="3" spans="1:9" x14ac:dyDescent="0.2">
      <c r="A3" t="s">
        <v>170</v>
      </c>
      <c r="B3" s="13">
        <v>1616</v>
      </c>
      <c r="C3">
        <v>0.70735802477661658</v>
      </c>
      <c r="D3">
        <v>0.29264197522338342</v>
      </c>
      <c r="E3">
        <v>6.4227131818305576E-3</v>
      </c>
      <c r="F3">
        <v>2.6571487224135459E-3</v>
      </c>
      <c r="G3">
        <v>-0.73133333333333539</v>
      </c>
      <c r="H3">
        <v>0.70122222222222153</v>
      </c>
      <c r="I3" s="15">
        <v>52</v>
      </c>
    </row>
    <row r="4" spans="1:9" x14ac:dyDescent="0.2">
      <c r="A4" t="s">
        <v>171</v>
      </c>
      <c r="B4" s="13">
        <v>1664</v>
      </c>
      <c r="C4">
        <v>0.72044617580556469</v>
      </c>
      <c r="D4">
        <v>0.27955382419443536</v>
      </c>
      <c r="E4">
        <v>5.0718591004658914E-3</v>
      </c>
      <c r="F4">
        <v>1.9680271128168815E-3</v>
      </c>
      <c r="G4">
        <v>-3.2093333333333351</v>
      </c>
      <c r="H4">
        <v>0.47722222222222133</v>
      </c>
      <c r="I4" s="15">
        <v>92</v>
      </c>
    </row>
    <row r="5" spans="1:9" x14ac:dyDescent="0.2">
      <c r="A5" t="s">
        <v>172</v>
      </c>
      <c r="B5" s="13">
        <v>2296</v>
      </c>
      <c r="C5">
        <v>0.70065219450871052</v>
      </c>
      <c r="D5">
        <v>0.29934780549128948</v>
      </c>
      <c r="E5">
        <v>5.2131176045134772E-3</v>
      </c>
      <c r="F5">
        <v>2.2272610103981011E-3</v>
      </c>
      <c r="G5">
        <v>-1.3833333333333355</v>
      </c>
      <c r="H5">
        <v>1.0312222222222207</v>
      </c>
      <c r="I5" s="15">
        <v>88</v>
      </c>
    </row>
    <row r="6" spans="1:9" x14ac:dyDescent="0.2">
      <c r="A6" t="s">
        <v>173</v>
      </c>
      <c r="B6" s="13">
        <v>1877</v>
      </c>
      <c r="C6">
        <v>0.79728238263661799</v>
      </c>
      <c r="D6">
        <v>0.20271761736338204</v>
      </c>
      <c r="E6">
        <v>6.9970941369246181E-3</v>
      </c>
      <c r="F6">
        <v>1.779086410029377E-3</v>
      </c>
      <c r="G6">
        <v>-7.0333333333335801E-2</v>
      </c>
      <c r="H6">
        <v>0.81822222222222152</v>
      </c>
      <c r="I6" s="15">
        <v>78</v>
      </c>
    </row>
    <row r="7" spans="1:9" x14ac:dyDescent="0.2">
      <c r="A7" t="s">
        <v>174</v>
      </c>
      <c r="B7" s="13">
        <v>2730</v>
      </c>
      <c r="C7">
        <v>0.80790807165534717</v>
      </c>
      <c r="D7">
        <v>0.19209192834465266</v>
      </c>
      <c r="E7">
        <v>6.5462232979577846E-3</v>
      </c>
      <c r="F7">
        <v>1.5564600736107522E-3</v>
      </c>
      <c r="G7">
        <v>-0.85233333333333583</v>
      </c>
      <c r="H7">
        <v>0.43922222222222196</v>
      </c>
      <c r="I7" s="15">
        <v>65</v>
      </c>
    </row>
    <row r="8" spans="1:9" x14ac:dyDescent="0.2">
      <c r="A8" t="s">
        <v>175</v>
      </c>
      <c r="B8" s="5">
        <v>688</v>
      </c>
      <c r="C8">
        <v>0.78539320416151925</v>
      </c>
      <c r="D8">
        <v>0.21460679583848055</v>
      </c>
      <c r="E8">
        <v>9.4172470204422452E-3</v>
      </c>
      <c r="F8">
        <v>2.5732400000000001E-3</v>
      </c>
      <c r="G8">
        <v>0.44011111111111223</v>
      </c>
      <c r="H8">
        <v>1.26855556</v>
      </c>
      <c r="I8">
        <v>4.5</v>
      </c>
    </row>
    <row r="9" spans="1:9" x14ac:dyDescent="0.2">
      <c r="A9" t="s">
        <v>176</v>
      </c>
      <c r="B9" s="5">
        <v>2740</v>
      </c>
      <c r="C9">
        <v>0.77233661699784784</v>
      </c>
      <c r="D9">
        <v>0.22766338300215216</v>
      </c>
      <c r="E9">
        <v>1.0647284527242378E-2</v>
      </c>
      <c r="F9">
        <v>3.138523749761854E-3</v>
      </c>
      <c r="G9">
        <v>-0.77499999999999947</v>
      </c>
      <c r="H9">
        <v>0.11900000000000066</v>
      </c>
      <c r="I9">
        <v>22</v>
      </c>
    </row>
    <row r="10" spans="1:9" x14ac:dyDescent="0.2">
      <c r="A10" t="s">
        <v>177</v>
      </c>
      <c r="B10" s="5">
        <v>1060</v>
      </c>
      <c r="C10">
        <v>0.72927137585892421</v>
      </c>
      <c r="D10">
        <v>0.27072862414107579</v>
      </c>
      <c r="E10">
        <v>7.1267847129110771E-3</v>
      </c>
      <c r="F10">
        <v>2.6456881261843332E-3</v>
      </c>
      <c r="G10">
        <v>0.35255555555555596</v>
      </c>
      <c r="H10">
        <v>0.35700000000000021</v>
      </c>
      <c r="I10">
        <v>18</v>
      </c>
    </row>
    <row r="11" spans="1:9" x14ac:dyDescent="0.2">
      <c r="A11" t="s">
        <v>178</v>
      </c>
      <c r="B11" s="5">
        <v>1132</v>
      </c>
      <c r="C11">
        <v>0.5706867532196962</v>
      </c>
      <c r="D11">
        <v>0.42931324678030369</v>
      </c>
      <c r="E11">
        <v>6.1336321973744267E-3</v>
      </c>
      <c r="F11">
        <v>4.614176758711808E-3</v>
      </c>
      <c r="G11">
        <v>-0.78499999999999925</v>
      </c>
      <c r="H11">
        <v>0.36399999999999988</v>
      </c>
      <c r="I11">
        <v>6.5</v>
      </c>
    </row>
    <row r="12" spans="1:9" x14ac:dyDescent="0.2">
      <c r="A12" t="s">
        <v>179</v>
      </c>
      <c r="B12" s="5">
        <v>209</v>
      </c>
      <c r="C12">
        <v>0.82296597646213088</v>
      </c>
      <c r="D12">
        <v>0.17703402353786901</v>
      </c>
      <c r="E12">
        <v>1.5001340661446424E-2</v>
      </c>
      <c r="F12">
        <v>3.2270443392750669E-3</v>
      </c>
      <c r="G12">
        <v>-3.5363333333333324</v>
      </c>
      <c r="H12">
        <v>-0.61544444444444402</v>
      </c>
      <c r="I12">
        <v>1</v>
      </c>
    </row>
    <row r="13" spans="1:9" x14ac:dyDescent="0.2">
      <c r="A13" t="s">
        <v>180</v>
      </c>
      <c r="B13" s="5">
        <v>918</v>
      </c>
      <c r="C13">
        <v>0.5591047084310018</v>
      </c>
      <c r="D13">
        <v>0.44089529156899815</v>
      </c>
      <c r="E13">
        <v>7.4514275531560618E-3</v>
      </c>
      <c r="F13">
        <v>5.8760001017938868E-3</v>
      </c>
      <c r="G13">
        <v>0.29555556000000049</v>
      </c>
      <c r="H13">
        <v>0.82800000000000029</v>
      </c>
      <c r="I13">
        <v>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D5DFC-9EB9-FD4A-B09E-383232A20B94}">
  <dimension ref="A1:I14"/>
  <sheetViews>
    <sheetView topLeftCell="D1" workbookViewId="0">
      <selection activeCell="J2" sqref="J2"/>
    </sheetView>
  </sheetViews>
  <sheetFormatPr baseColWidth="10" defaultRowHeight="16" x14ac:dyDescent="0.2"/>
  <sheetData>
    <row r="1" spans="1:9" x14ac:dyDescent="0.2">
      <c r="A1" t="s">
        <v>186</v>
      </c>
      <c r="F1" t="s">
        <v>187</v>
      </c>
    </row>
    <row r="2" spans="1:9" x14ac:dyDescent="0.2">
      <c r="A2" t="s">
        <v>167</v>
      </c>
      <c r="B2" t="s">
        <v>168</v>
      </c>
      <c r="C2" t="s">
        <v>184</v>
      </c>
      <c r="D2" t="s">
        <v>185</v>
      </c>
      <c r="F2" t="s">
        <v>188</v>
      </c>
      <c r="G2" t="s">
        <v>189</v>
      </c>
      <c r="H2" t="s">
        <v>168</v>
      </c>
      <c r="I2" t="s">
        <v>183</v>
      </c>
    </row>
    <row r="3" spans="1:9" x14ac:dyDescent="0.2">
      <c r="A3" t="s">
        <v>169</v>
      </c>
      <c r="B3" s="5">
        <v>1333</v>
      </c>
      <c r="C3">
        <v>-9.4943500000000007</v>
      </c>
      <c r="D3">
        <v>42.022933330000001</v>
      </c>
      <c r="F3">
        <v>-9.69</v>
      </c>
      <c r="G3">
        <v>41.91</v>
      </c>
      <c r="H3">
        <v>1387</v>
      </c>
      <c r="I3">
        <v>2.29</v>
      </c>
    </row>
    <row r="4" spans="1:9" x14ac:dyDescent="0.2">
      <c r="A4" t="s">
        <v>170</v>
      </c>
      <c r="B4" s="13">
        <v>1616</v>
      </c>
      <c r="C4">
        <v>-24.592066670000001</v>
      </c>
      <c r="D4">
        <v>37.156550000000003</v>
      </c>
      <c r="F4">
        <v>-23.594000000000001</v>
      </c>
      <c r="G4">
        <v>36.237000000000002</v>
      </c>
      <c r="H4">
        <v>1604</v>
      </c>
      <c r="I4">
        <v>1.84</v>
      </c>
    </row>
    <row r="5" spans="1:9" x14ac:dyDescent="0.2">
      <c r="A5" t="s">
        <v>171</v>
      </c>
      <c r="B5" s="13">
        <v>1664</v>
      </c>
      <c r="C5">
        <v>-28.83935</v>
      </c>
      <c r="D5">
        <v>40.934483329999999</v>
      </c>
      <c r="F5">
        <v>-28.3</v>
      </c>
      <c r="G5">
        <v>41.02</v>
      </c>
      <c r="H5">
        <v>1777</v>
      </c>
      <c r="I5">
        <v>1.73</v>
      </c>
    </row>
    <row r="6" spans="1:9" x14ac:dyDescent="0.2">
      <c r="A6" t="s">
        <v>172</v>
      </c>
      <c r="B6" s="13">
        <v>2296</v>
      </c>
      <c r="C6">
        <v>-27.952333329999998</v>
      </c>
      <c r="D6">
        <v>49.144033329999999</v>
      </c>
      <c r="F6">
        <v>-27.864999999999998</v>
      </c>
      <c r="G6">
        <v>49.3</v>
      </c>
      <c r="H6">
        <v>2283</v>
      </c>
      <c r="I6">
        <v>1.58</v>
      </c>
    </row>
    <row r="7" spans="1:9" x14ac:dyDescent="0.2">
      <c r="A7" t="s">
        <v>173</v>
      </c>
      <c r="B7" s="13">
        <v>1877</v>
      </c>
      <c r="C7">
        <v>-20.824000000000002</v>
      </c>
      <c r="D7">
        <v>57.033283330000003</v>
      </c>
      <c r="F7">
        <v>-20.622</v>
      </c>
      <c r="G7">
        <v>57.563000000000002</v>
      </c>
      <c r="H7">
        <v>1969</v>
      </c>
      <c r="I7">
        <v>1.73</v>
      </c>
    </row>
    <row r="8" spans="1:9" x14ac:dyDescent="0.2">
      <c r="A8" t="s">
        <v>174</v>
      </c>
      <c r="B8" s="13">
        <v>2730</v>
      </c>
      <c r="C8">
        <v>-19.921533329999999</v>
      </c>
      <c r="D8">
        <v>59.753533330000003</v>
      </c>
      <c r="F8">
        <v>-19.997</v>
      </c>
      <c r="G8">
        <v>59.497</v>
      </c>
      <c r="H8">
        <v>2754</v>
      </c>
      <c r="I8">
        <v>1.32</v>
      </c>
    </row>
    <row r="9" spans="1:9" x14ac:dyDescent="0.2">
      <c r="A9" t="s">
        <v>175</v>
      </c>
      <c r="B9" s="5">
        <v>688</v>
      </c>
      <c r="C9">
        <v>-6.9394333330000002</v>
      </c>
      <c r="D9">
        <v>62.923333329999998</v>
      </c>
      <c r="F9">
        <v>-7.8760000000000003</v>
      </c>
      <c r="G9">
        <v>61.323999999999998</v>
      </c>
      <c r="H9">
        <v>692</v>
      </c>
      <c r="I9">
        <v>1.94</v>
      </c>
    </row>
    <row r="10" spans="1:9" x14ac:dyDescent="0.2">
      <c r="A10" t="s">
        <v>176</v>
      </c>
      <c r="B10" s="5">
        <v>2740</v>
      </c>
      <c r="C10">
        <v>0.79323333330000001</v>
      </c>
      <c r="D10">
        <v>64.954033330000001</v>
      </c>
      <c r="F10">
        <v>-3.3370000000000002</v>
      </c>
      <c r="G10">
        <v>67.686999999999998</v>
      </c>
      <c r="H10">
        <v>2780</v>
      </c>
      <c r="I10">
        <v>1.32</v>
      </c>
    </row>
    <row r="11" spans="1:9" x14ac:dyDescent="0.2">
      <c r="A11" t="s">
        <v>177</v>
      </c>
      <c r="B11" s="5">
        <v>1060</v>
      </c>
      <c r="C11">
        <v>7.6499333329999999</v>
      </c>
      <c r="D11">
        <v>67.006299999999996</v>
      </c>
      <c r="F11">
        <v>2.4830000000000001</v>
      </c>
      <c r="G11">
        <v>69.997</v>
      </c>
      <c r="H11">
        <v>1172</v>
      </c>
      <c r="I11">
        <v>2.19</v>
      </c>
    </row>
    <row r="12" spans="1:9" x14ac:dyDescent="0.2">
      <c r="A12" t="s">
        <v>178</v>
      </c>
      <c r="B12" s="5">
        <v>1132</v>
      </c>
      <c r="C12">
        <v>12.198449999999999</v>
      </c>
      <c r="D12">
        <v>76.856700000000004</v>
      </c>
      <c r="F12">
        <v>8.8330000000000002</v>
      </c>
      <c r="G12">
        <v>78.5</v>
      </c>
      <c r="H12">
        <v>978</v>
      </c>
      <c r="I12">
        <v>2.02</v>
      </c>
    </row>
    <row r="13" spans="1:9" x14ac:dyDescent="0.2">
      <c r="A13" t="s">
        <v>179</v>
      </c>
      <c r="B13" s="5">
        <v>209</v>
      </c>
      <c r="C13">
        <v>13.0616</v>
      </c>
      <c r="D13">
        <v>77.233000000000004</v>
      </c>
      <c r="F13">
        <v>9.4730000000000008</v>
      </c>
      <c r="G13">
        <v>78.572999999999993</v>
      </c>
      <c r="H13">
        <v>318</v>
      </c>
      <c r="I13">
        <v>2.7</v>
      </c>
    </row>
    <row r="14" spans="1:9" x14ac:dyDescent="0.2">
      <c r="A14" t="s">
        <v>180</v>
      </c>
      <c r="B14" s="5">
        <v>918</v>
      </c>
      <c r="C14">
        <v>-18.556466669999999</v>
      </c>
      <c r="D14">
        <v>63.05391667</v>
      </c>
      <c r="F14">
        <v>-19.55</v>
      </c>
      <c r="G14">
        <v>62.917000000000002</v>
      </c>
      <c r="H14">
        <v>1002</v>
      </c>
      <c r="I14">
        <v>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and calcs</vt:lpstr>
      <vt:lpstr>COMPILED DATASET</vt:lpstr>
      <vt:lpstr>foram_cocco_workup</vt:lpstr>
      <vt:lpstr>omegac_workup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cshepp</cp:lastModifiedBy>
  <dcterms:created xsi:type="dcterms:W3CDTF">2025-05-28T04:52:02Z</dcterms:created>
  <dcterms:modified xsi:type="dcterms:W3CDTF">2025-10-24T21:50:11Z</dcterms:modified>
</cp:coreProperties>
</file>